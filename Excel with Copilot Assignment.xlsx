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F:\"/>
    </mc:Choice>
  </mc:AlternateContent>
  <xr:revisionPtr revIDLastSave="0" documentId="13_ncr:1_{81DF13BE-7401-472D-BB91-87353521FD4C}" xr6:coauthVersionLast="47" xr6:coauthVersionMax="47" xr10:uidLastSave="{00000000-0000-0000-0000-000000000000}"/>
  <bookViews>
    <workbookView xWindow="-108" yWindow="-108" windowWidth="23256" windowHeight="12456" firstSheet="4" activeTab="14" xr2:uid="{70E2BD6F-6233-449D-AFA3-F5478887C4AB}"/>
  </bookViews>
  <sheets>
    <sheet name="Source Data with Missing Values" sheetId="1" r:id="rId1"/>
    <sheet name="Summarizing Missing Values" sheetId="3" r:id="rId2"/>
    <sheet name="Question 2,3,4 and 5" sheetId="5" r:id="rId3"/>
    <sheet name="Most Occuring region" sheetId="4" state="hidden" r:id="rId4"/>
    <sheet name="Clean Table" sheetId="6" r:id="rId5"/>
    <sheet name="Question 6" sheetId="7" r:id="rId6"/>
    <sheet name="Question 7" sheetId="8" r:id="rId7"/>
    <sheet name="Sheet9" sheetId="16" state="hidden" r:id="rId8"/>
    <sheet name="Sheet8" sheetId="20" state="hidden" r:id="rId9"/>
    <sheet name="Sheet1" sheetId="21" state="hidden" r:id="rId10"/>
    <sheet name="Final Dataset for Dashboard" sheetId="9" r:id="rId11"/>
    <sheet name="Sheet3" sheetId="10" state="hidden" r:id="rId12"/>
    <sheet name="Sheet7" sheetId="14" state="hidden" r:id="rId13"/>
    <sheet name="Sheet6" sheetId="13" state="hidden" r:id="rId14"/>
    <sheet name="Dashboard" sheetId="11" r:id="rId15"/>
    <sheet name="Summary report" sheetId="23" r:id="rId16"/>
  </sheets>
  <definedNames>
    <definedName name="Slicer_Order_Priority1">#N/A</definedName>
    <definedName name="Slicer_Sales_Channel1">#N/A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9" l="1"/>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2" i="9"/>
  <c r="L351" i="9"/>
  <c r="M351" i="9" s="1"/>
  <c r="L350" i="9"/>
  <c r="M350" i="9" s="1"/>
  <c r="L349" i="9"/>
  <c r="M349" i="9" s="1"/>
  <c r="L348" i="9"/>
  <c r="M348" i="9" s="1"/>
  <c r="L347" i="9"/>
  <c r="M347" i="9" s="1"/>
  <c r="L346" i="9"/>
  <c r="M346" i="9" s="1"/>
  <c r="L345" i="9"/>
  <c r="M345" i="9" s="1"/>
  <c r="L344" i="9"/>
  <c r="M344" i="9" s="1"/>
  <c r="L343" i="9"/>
  <c r="M343" i="9" s="1"/>
  <c r="L342" i="9"/>
  <c r="M342" i="9" s="1"/>
  <c r="L341" i="9"/>
  <c r="M341" i="9" s="1"/>
  <c r="L340" i="9"/>
  <c r="M340" i="9" s="1"/>
  <c r="L339" i="9"/>
  <c r="M339" i="9" s="1"/>
  <c r="L338" i="9"/>
  <c r="M338" i="9" s="1"/>
  <c r="L337" i="9"/>
  <c r="M337" i="9" s="1"/>
  <c r="L336" i="9"/>
  <c r="M336" i="9" s="1"/>
  <c r="L335" i="9"/>
  <c r="M335" i="9" s="1"/>
  <c r="L334" i="9"/>
  <c r="M334" i="9" s="1"/>
  <c r="L333" i="9"/>
  <c r="M333" i="9" s="1"/>
  <c r="L332" i="9"/>
  <c r="M332" i="9" s="1"/>
  <c r="L331" i="9"/>
  <c r="M331" i="9" s="1"/>
  <c r="L330" i="9"/>
  <c r="M330" i="9" s="1"/>
  <c r="L329" i="9"/>
  <c r="M329" i="9" s="1"/>
  <c r="L328" i="9"/>
  <c r="M328" i="9" s="1"/>
  <c r="L327" i="9"/>
  <c r="M327" i="9" s="1"/>
  <c r="L326" i="9"/>
  <c r="M326" i="9" s="1"/>
  <c r="L325" i="9"/>
  <c r="M325" i="9" s="1"/>
  <c r="L324" i="9"/>
  <c r="M324" i="9" s="1"/>
  <c r="L323" i="9"/>
  <c r="M323" i="9" s="1"/>
  <c r="L322" i="9"/>
  <c r="M322" i="9" s="1"/>
  <c r="L321" i="9"/>
  <c r="M321" i="9" s="1"/>
  <c r="L320" i="9"/>
  <c r="M320" i="9" s="1"/>
  <c r="L319" i="9"/>
  <c r="M319" i="9" s="1"/>
  <c r="L318" i="9"/>
  <c r="M318" i="9" s="1"/>
  <c r="L317" i="9"/>
  <c r="M317" i="9" s="1"/>
  <c r="L316" i="9"/>
  <c r="M316" i="9" s="1"/>
  <c r="L315" i="9"/>
  <c r="M315" i="9" s="1"/>
  <c r="L314" i="9"/>
  <c r="M314" i="9" s="1"/>
  <c r="L313" i="9"/>
  <c r="M313" i="9" s="1"/>
  <c r="L312" i="9"/>
  <c r="M312" i="9" s="1"/>
  <c r="L311" i="9"/>
  <c r="M311" i="9" s="1"/>
  <c r="L310" i="9"/>
  <c r="M310" i="9" s="1"/>
  <c r="L309" i="9"/>
  <c r="M309" i="9" s="1"/>
  <c r="L308" i="9"/>
  <c r="M308" i="9" s="1"/>
  <c r="L307" i="9"/>
  <c r="M307" i="9" s="1"/>
  <c r="L306" i="9"/>
  <c r="M306" i="9" s="1"/>
  <c r="L305" i="9"/>
  <c r="M305" i="9" s="1"/>
  <c r="L304" i="9"/>
  <c r="M304" i="9" s="1"/>
  <c r="L303" i="9"/>
  <c r="M303" i="9" s="1"/>
  <c r="L302" i="9"/>
  <c r="M302" i="9" s="1"/>
  <c r="L301" i="9"/>
  <c r="M301" i="9" s="1"/>
  <c r="L300" i="9"/>
  <c r="M300" i="9" s="1"/>
  <c r="L299" i="9"/>
  <c r="M299" i="9" s="1"/>
  <c r="L298" i="9"/>
  <c r="M298" i="9" s="1"/>
  <c r="L297" i="9"/>
  <c r="M297" i="9" s="1"/>
  <c r="L296" i="9"/>
  <c r="M296" i="9" s="1"/>
  <c r="L295" i="9"/>
  <c r="M295" i="9" s="1"/>
  <c r="L294" i="9"/>
  <c r="M294" i="9" s="1"/>
  <c r="L293" i="9"/>
  <c r="M293" i="9" s="1"/>
  <c r="L292" i="9"/>
  <c r="M292" i="9" s="1"/>
  <c r="L291" i="9"/>
  <c r="M291" i="9" s="1"/>
  <c r="L290" i="9"/>
  <c r="M290" i="9" s="1"/>
  <c r="L289" i="9"/>
  <c r="M289" i="9" s="1"/>
  <c r="L288" i="9"/>
  <c r="M288" i="9" s="1"/>
  <c r="L287" i="9"/>
  <c r="M287" i="9" s="1"/>
  <c r="L286" i="9"/>
  <c r="M286" i="9" s="1"/>
  <c r="L285" i="9"/>
  <c r="M285" i="9" s="1"/>
  <c r="L284" i="9"/>
  <c r="M284" i="9" s="1"/>
  <c r="L283" i="9"/>
  <c r="M283" i="9" s="1"/>
  <c r="L282" i="9"/>
  <c r="M282" i="9" s="1"/>
  <c r="L281" i="9"/>
  <c r="M281" i="9" s="1"/>
  <c r="L280" i="9"/>
  <c r="M280" i="9" s="1"/>
  <c r="L279" i="9"/>
  <c r="M279" i="9" s="1"/>
  <c r="L278" i="9"/>
  <c r="M278" i="9" s="1"/>
  <c r="L277" i="9"/>
  <c r="M277" i="9" s="1"/>
  <c r="L276" i="9"/>
  <c r="M276" i="9" s="1"/>
  <c r="L275" i="9"/>
  <c r="M275" i="9" s="1"/>
  <c r="L274" i="9"/>
  <c r="M274" i="9" s="1"/>
  <c r="L273" i="9"/>
  <c r="M273" i="9" s="1"/>
  <c r="L272" i="9"/>
  <c r="M272" i="9" s="1"/>
  <c r="L271" i="9"/>
  <c r="M271" i="9" s="1"/>
  <c r="L270" i="9"/>
  <c r="M270" i="9" s="1"/>
  <c r="L269" i="9"/>
  <c r="M269" i="9" s="1"/>
  <c r="L268" i="9"/>
  <c r="M268" i="9" s="1"/>
  <c r="L267" i="9"/>
  <c r="M267" i="9" s="1"/>
  <c r="L266" i="9"/>
  <c r="M266" i="9" s="1"/>
  <c r="L265" i="9"/>
  <c r="M265" i="9" s="1"/>
  <c r="L264" i="9"/>
  <c r="M264" i="9" s="1"/>
  <c r="L263" i="9"/>
  <c r="M263" i="9" s="1"/>
  <c r="L262" i="9"/>
  <c r="M262" i="9" s="1"/>
  <c r="L261" i="9"/>
  <c r="M261" i="9" s="1"/>
  <c r="L260" i="9"/>
  <c r="M260" i="9" s="1"/>
  <c r="L259" i="9"/>
  <c r="M259" i="9" s="1"/>
  <c r="L258" i="9"/>
  <c r="M258" i="9" s="1"/>
  <c r="L257" i="9"/>
  <c r="M257" i="9" s="1"/>
  <c r="L256" i="9"/>
  <c r="M256" i="9" s="1"/>
  <c r="L255" i="9"/>
  <c r="M255" i="9" s="1"/>
  <c r="L254" i="9"/>
  <c r="M254" i="9" s="1"/>
  <c r="L253" i="9"/>
  <c r="M253" i="9" s="1"/>
  <c r="L252" i="9"/>
  <c r="M252" i="9" s="1"/>
  <c r="L251" i="9"/>
  <c r="M251" i="9" s="1"/>
  <c r="L250" i="9"/>
  <c r="M250" i="9" s="1"/>
  <c r="L249" i="9"/>
  <c r="M249" i="9" s="1"/>
  <c r="L248" i="9"/>
  <c r="M248" i="9" s="1"/>
  <c r="L247" i="9"/>
  <c r="M247" i="9" s="1"/>
  <c r="L246" i="9"/>
  <c r="M246" i="9" s="1"/>
  <c r="L245" i="9"/>
  <c r="M245" i="9" s="1"/>
  <c r="L244" i="9"/>
  <c r="M244" i="9" s="1"/>
  <c r="L243" i="9"/>
  <c r="M243" i="9" s="1"/>
  <c r="L242" i="9"/>
  <c r="M242" i="9" s="1"/>
  <c r="L241" i="9"/>
  <c r="M241" i="9" s="1"/>
  <c r="L240" i="9"/>
  <c r="M240" i="9" s="1"/>
  <c r="L239" i="9"/>
  <c r="M239" i="9" s="1"/>
  <c r="L238" i="9"/>
  <c r="M238" i="9" s="1"/>
  <c r="L237" i="9"/>
  <c r="M237" i="9" s="1"/>
  <c r="L236" i="9"/>
  <c r="M236" i="9" s="1"/>
  <c r="L235" i="9"/>
  <c r="M235" i="9" s="1"/>
  <c r="L234" i="9"/>
  <c r="M234" i="9" s="1"/>
  <c r="L233" i="9"/>
  <c r="M233" i="9" s="1"/>
  <c r="L232" i="9"/>
  <c r="M232" i="9" s="1"/>
  <c r="L231" i="9"/>
  <c r="M231" i="9" s="1"/>
  <c r="L230" i="9"/>
  <c r="M230" i="9" s="1"/>
  <c r="L229" i="9"/>
  <c r="M229" i="9" s="1"/>
  <c r="L228" i="9"/>
  <c r="M228" i="9" s="1"/>
  <c r="L227" i="9"/>
  <c r="M227" i="9" s="1"/>
  <c r="L226" i="9"/>
  <c r="M226" i="9" s="1"/>
  <c r="L225" i="9"/>
  <c r="M225" i="9" s="1"/>
  <c r="L224" i="9"/>
  <c r="M224" i="9" s="1"/>
  <c r="L223" i="9"/>
  <c r="M223" i="9" s="1"/>
  <c r="L222" i="9"/>
  <c r="M222" i="9" s="1"/>
  <c r="L221" i="9"/>
  <c r="M221" i="9" s="1"/>
  <c r="L220" i="9"/>
  <c r="M220" i="9" s="1"/>
  <c r="L219" i="9"/>
  <c r="M219" i="9" s="1"/>
  <c r="L218" i="9"/>
  <c r="M218" i="9" s="1"/>
  <c r="L217" i="9"/>
  <c r="M217" i="9" s="1"/>
  <c r="L216" i="9"/>
  <c r="M216" i="9" s="1"/>
  <c r="L215" i="9"/>
  <c r="M215" i="9" s="1"/>
  <c r="L214" i="9"/>
  <c r="M214" i="9" s="1"/>
  <c r="L213" i="9"/>
  <c r="M213" i="9" s="1"/>
  <c r="L212" i="9"/>
  <c r="M212" i="9" s="1"/>
  <c r="L211" i="9"/>
  <c r="M211" i="9" s="1"/>
  <c r="L210" i="9"/>
  <c r="M210" i="9" s="1"/>
  <c r="L209" i="9"/>
  <c r="M209" i="9" s="1"/>
  <c r="L208" i="9"/>
  <c r="M208" i="9" s="1"/>
  <c r="L207" i="9"/>
  <c r="M207" i="9" s="1"/>
  <c r="L206" i="9"/>
  <c r="M206" i="9" s="1"/>
  <c r="L205" i="9"/>
  <c r="M205" i="9" s="1"/>
  <c r="L204" i="9"/>
  <c r="M204" i="9" s="1"/>
  <c r="L203" i="9"/>
  <c r="M203" i="9" s="1"/>
  <c r="L202" i="9"/>
  <c r="M202" i="9" s="1"/>
  <c r="L201" i="9"/>
  <c r="M201" i="9" s="1"/>
  <c r="L200" i="9"/>
  <c r="M200" i="9" s="1"/>
  <c r="L199" i="9"/>
  <c r="M199" i="9" s="1"/>
  <c r="L198" i="9"/>
  <c r="M198" i="9" s="1"/>
  <c r="L197" i="9"/>
  <c r="M197" i="9" s="1"/>
  <c r="L196" i="9"/>
  <c r="M196" i="9" s="1"/>
  <c r="L195" i="9"/>
  <c r="M195" i="9" s="1"/>
  <c r="L194" i="9"/>
  <c r="M194" i="9" s="1"/>
  <c r="L193" i="9"/>
  <c r="M193" i="9" s="1"/>
  <c r="L192" i="9"/>
  <c r="M192" i="9" s="1"/>
  <c r="L191" i="9"/>
  <c r="M191" i="9" s="1"/>
  <c r="L190" i="9"/>
  <c r="M190" i="9" s="1"/>
  <c r="L189" i="9"/>
  <c r="M189" i="9" s="1"/>
  <c r="L188" i="9"/>
  <c r="M188" i="9" s="1"/>
  <c r="L187" i="9"/>
  <c r="M187" i="9" s="1"/>
  <c r="L186" i="9"/>
  <c r="M186" i="9" s="1"/>
  <c r="L185" i="9"/>
  <c r="M185" i="9" s="1"/>
  <c r="L184" i="9"/>
  <c r="M184" i="9" s="1"/>
  <c r="L183" i="9"/>
  <c r="M183" i="9" s="1"/>
  <c r="L182" i="9"/>
  <c r="M182" i="9" s="1"/>
  <c r="L181" i="9"/>
  <c r="M181" i="9" s="1"/>
  <c r="L180" i="9"/>
  <c r="M180" i="9" s="1"/>
  <c r="L179" i="9"/>
  <c r="M179" i="9" s="1"/>
  <c r="L178" i="9"/>
  <c r="M178" i="9" s="1"/>
  <c r="L177" i="9"/>
  <c r="M177" i="9" s="1"/>
  <c r="L176" i="9"/>
  <c r="M176" i="9" s="1"/>
  <c r="L175" i="9"/>
  <c r="M175" i="9" s="1"/>
  <c r="L174" i="9"/>
  <c r="M174" i="9" s="1"/>
  <c r="L173" i="9"/>
  <c r="M173" i="9" s="1"/>
  <c r="L172" i="9"/>
  <c r="M172" i="9" s="1"/>
  <c r="L171" i="9"/>
  <c r="M171" i="9" s="1"/>
  <c r="L170" i="9"/>
  <c r="M170" i="9" s="1"/>
  <c r="L169" i="9"/>
  <c r="M169" i="9" s="1"/>
  <c r="L168" i="9"/>
  <c r="M168" i="9" s="1"/>
  <c r="L167" i="9"/>
  <c r="M167" i="9" s="1"/>
  <c r="L166" i="9"/>
  <c r="M166" i="9" s="1"/>
  <c r="L165" i="9"/>
  <c r="M165" i="9" s="1"/>
  <c r="L164" i="9"/>
  <c r="M164" i="9" s="1"/>
  <c r="L163" i="9"/>
  <c r="M163" i="9" s="1"/>
  <c r="L162" i="9"/>
  <c r="M162" i="9" s="1"/>
  <c r="L161" i="9"/>
  <c r="M161" i="9" s="1"/>
  <c r="L160" i="9"/>
  <c r="M160" i="9" s="1"/>
  <c r="L159" i="9"/>
  <c r="M159" i="9" s="1"/>
  <c r="L158" i="9"/>
  <c r="M158" i="9" s="1"/>
  <c r="L157" i="9"/>
  <c r="M157" i="9" s="1"/>
  <c r="L156" i="9"/>
  <c r="M156" i="9" s="1"/>
  <c r="L155" i="9"/>
  <c r="M155" i="9" s="1"/>
  <c r="L154" i="9"/>
  <c r="M154" i="9" s="1"/>
  <c r="L153" i="9"/>
  <c r="M153" i="9" s="1"/>
  <c r="L152" i="9"/>
  <c r="M152" i="9" s="1"/>
  <c r="L151" i="9"/>
  <c r="M151" i="9" s="1"/>
  <c r="L150" i="9"/>
  <c r="M150" i="9" s="1"/>
  <c r="L149" i="9"/>
  <c r="M149" i="9" s="1"/>
  <c r="L148" i="9"/>
  <c r="M148" i="9" s="1"/>
  <c r="L147" i="9"/>
  <c r="M147" i="9" s="1"/>
  <c r="L146" i="9"/>
  <c r="M146" i="9" s="1"/>
  <c r="L145" i="9"/>
  <c r="M145" i="9" s="1"/>
  <c r="L144" i="9"/>
  <c r="M144" i="9" s="1"/>
  <c r="L143" i="9"/>
  <c r="M143" i="9" s="1"/>
  <c r="L142" i="9"/>
  <c r="M142" i="9" s="1"/>
  <c r="L141" i="9"/>
  <c r="M141" i="9" s="1"/>
  <c r="L140" i="9"/>
  <c r="M140" i="9" s="1"/>
  <c r="L139" i="9"/>
  <c r="M139" i="9" s="1"/>
  <c r="L138" i="9"/>
  <c r="M138" i="9" s="1"/>
  <c r="L137" i="9"/>
  <c r="M137" i="9" s="1"/>
  <c r="L136" i="9"/>
  <c r="M136" i="9" s="1"/>
  <c r="L135" i="9"/>
  <c r="M135" i="9" s="1"/>
  <c r="L134" i="9"/>
  <c r="M134" i="9" s="1"/>
  <c r="L133" i="9"/>
  <c r="M133" i="9" s="1"/>
  <c r="L132" i="9"/>
  <c r="M132" i="9" s="1"/>
  <c r="L131" i="9"/>
  <c r="M131" i="9" s="1"/>
  <c r="L130" i="9"/>
  <c r="M130" i="9" s="1"/>
  <c r="L129" i="9"/>
  <c r="M129" i="9" s="1"/>
  <c r="L128" i="9"/>
  <c r="M128" i="9" s="1"/>
  <c r="L127" i="9"/>
  <c r="M127" i="9" s="1"/>
  <c r="L126" i="9"/>
  <c r="M126" i="9" s="1"/>
  <c r="L125" i="9"/>
  <c r="M125" i="9" s="1"/>
  <c r="L124" i="9"/>
  <c r="M124" i="9" s="1"/>
  <c r="L123" i="9"/>
  <c r="M123" i="9" s="1"/>
  <c r="L122" i="9"/>
  <c r="M122" i="9" s="1"/>
  <c r="L121" i="9"/>
  <c r="M121" i="9" s="1"/>
  <c r="L120" i="9"/>
  <c r="M120" i="9" s="1"/>
  <c r="L119" i="9"/>
  <c r="M119" i="9" s="1"/>
  <c r="L118" i="9"/>
  <c r="M118" i="9" s="1"/>
  <c r="L117" i="9"/>
  <c r="M117" i="9" s="1"/>
  <c r="L116" i="9"/>
  <c r="M116" i="9" s="1"/>
  <c r="L115" i="9"/>
  <c r="M115" i="9" s="1"/>
  <c r="L114" i="9"/>
  <c r="M114" i="9" s="1"/>
  <c r="L113" i="9"/>
  <c r="M113" i="9" s="1"/>
  <c r="L112" i="9"/>
  <c r="M112" i="9" s="1"/>
  <c r="L111" i="9"/>
  <c r="M111" i="9" s="1"/>
  <c r="L110" i="9"/>
  <c r="M110" i="9" s="1"/>
  <c r="L109" i="9"/>
  <c r="M109" i="9" s="1"/>
  <c r="L108" i="9"/>
  <c r="M108" i="9" s="1"/>
  <c r="L107" i="9"/>
  <c r="M107" i="9" s="1"/>
  <c r="L106" i="9"/>
  <c r="M106" i="9" s="1"/>
  <c r="L105" i="9"/>
  <c r="M105" i="9" s="1"/>
  <c r="L104" i="9"/>
  <c r="M104" i="9" s="1"/>
  <c r="L103" i="9"/>
  <c r="M103" i="9" s="1"/>
  <c r="L102" i="9"/>
  <c r="M102" i="9" s="1"/>
  <c r="L101" i="9"/>
  <c r="M101" i="9" s="1"/>
  <c r="L100" i="9"/>
  <c r="M100" i="9" s="1"/>
  <c r="L99" i="9"/>
  <c r="M99" i="9" s="1"/>
  <c r="L98" i="9"/>
  <c r="M98" i="9" s="1"/>
  <c r="L97" i="9"/>
  <c r="M97" i="9" s="1"/>
  <c r="L96" i="9"/>
  <c r="M96" i="9" s="1"/>
  <c r="L95" i="9"/>
  <c r="M95" i="9" s="1"/>
  <c r="L94" i="9"/>
  <c r="M94" i="9" s="1"/>
  <c r="L93" i="9"/>
  <c r="M93" i="9" s="1"/>
  <c r="L92" i="9"/>
  <c r="M92" i="9" s="1"/>
  <c r="L91" i="9"/>
  <c r="M91" i="9" s="1"/>
  <c r="L90" i="9"/>
  <c r="M90" i="9" s="1"/>
  <c r="L89" i="9"/>
  <c r="M89" i="9" s="1"/>
  <c r="L88" i="9"/>
  <c r="M88" i="9" s="1"/>
  <c r="L87" i="9"/>
  <c r="M87" i="9" s="1"/>
  <c r="L86" i="9"/>
  <c r="M86" i="9" s="1"/>
  <c r="L85" i="9"/>
  <c r="M85" i="9" s="1"/>
  <c r="L84" i="9"/>
  <c r="M84" i="9" s="1"/>
  <c r="L83" i="9"/>
  <c r="M83" i="9" s="1"/>
  <c r="L82" i="9"/>
  <c r="M82" i="9" s="1"/>
  <c r="L81" i="9"/>
  <c r="M81" i="9" s="1"/>
  <c r="L80" i="9"/>
  <c r="M80" i="9" s="1"/>
  <c r="L79" i="9"/>
  <c r="M79" i="9" s="1"/>
  <c r="L78" i="9"/>
  <c r="M78" i="9" s="1"/>
  <c r="L77" i="9"/>
  <c r="M77" i="9" s="1"/>
  <c r="L76" i="9"/>
  <c r="M76" i="9" s="1"/>
  <c r="L75" i="9"/>
  <c r="M75" i="9" s="1"/>
  <c r="L74" i="9"/>
  <c r="M74" i="9" s="1"/>
  <c r="L73" i="9"/>
  <c r="M73" i="9" s="1"/>
  <c r="L72" i="9"/>
  <c r="M72" i="9" s="1"/>
  <c r="L71" i="9"/>
  <c r="M71" i="9" s="1"/>
  <c r="L70" i="9"/>
  <c r="M70" i="9" s="1"/>
  <c r="L69" i="9"/>
  <c r="M69" i="9" s="1"/>
  <c r="L68" i="9"/>
  <c r="M68" i="9" s="1"/>
  <c r="L67" i="9"/>
  <c r="M67" i="9" s="1"/>
  <c r="L66" i="9"/>
  <c r="M66" i="9" s="1"/>
  <c r="L65" i="9"/>
  <c r="M65" i="9" s="1"/>
  <c r="L64" i="9"/>
  <c r="M64" i="9" s="1"/>
  <c r="L63" i="9"/>
  <c r="M63" i="9" s="1"/>
  <c r="L62" i="9"/>
  <c r="M62" i="9" s="1"/>
  <c r="L61" i="9"/>
  <c r="M61" i="9" s="1"/>
  <c r="L60" i="9"/>
  <c r="M60" i="9" s="1"/>
  <c r="L59" i="9"/>
  <c r="M59" i="9" s="1"/>
  <c r="L58" i="9"/>
  <c r="M58" i="9" s="1"/>
  <c r="L57" i="9"/>
  <c r="M57" i="9" s="1"/>
  <c r="L56" i="9"/>
  <c r="M56" i="9" s="1"/>
  <c r="L55" i="9"/>
  <c r="M55" i="9" s="1"/>
  <c r="L54" i="9"/>
  <c r="M54" i="9" s="1"/>
  <c r="L53" i="9"/>
  <c r="M53" i="9" s="1"/>
  <c r="L52" i="9"/>
  <c r="M52" i="9" s="1"/>
  <c r="L51" i="9"/>
  <c r="M51" i="9" s="1"/>
  <c r="L50" i="9"/>
  <c r="M50" i="9" s="1"/>
  <c r="L49" i="9"/>
  <c r="M49" i="9" s="1"/>
  <c r="L48" i="9"/>
  <c r="M48" i="9" s="1"/>
  <c r="L47" i="9"/>
  <c r="M47" i="9" s="1"/>
  <c r="L46" i="9"/>
  <c r="M46" i="9" s="1"/>
  <c r="L45" i="9"/>
  <c r="M45" i="9" s="1"/>
  <c r="L44" i="9"/>
  <c r="M44" i="9" s="1"/>
  <c r="L43" i="9"/>
  <c r="M43" i="9" s="1"/>
  <c r="L42" i="9"/>
  <c r="M42" i="9" s="1"/>
  <c r="L41" i="9"/>
  <c r="M41" i="9" s="1"/>
  <c r="L40" i="9"/>
  <c r="M40" i="9" s="1"/>
  <c r="L39" i="9"/>
  <c r="M39" i="9" s="1"/>
  <c r="L38" i="9"/>
  <c r="M38" i="9" s="1"/>
  <c r="L37" i="9"/>
  <c r="M37" i="9" s="1"/>
  <c r="L36" i="9"/>
  <c r="M36" i="9" s="1"/>
  <c r="L35" i="9"/>
  <c r="M35" i="9" s="1"/>
  <c r="L34" i="9"/>
  <c r="M34" i="9" s="1"/>
  <c r="L33" i="9"/>
  <c r="M33" i="9" s="1"/>
  <c r="L32" i="9"/>
  <c r="M32" i="9" s="1"/>
  <c r="L31" i="9"/>
  <c r="M31" i="9" s="1"/>
  <c r="L30" i="9"/>
  <c r="M30" i="9" s="1"/>
  <c r="L29" i="9"/>
  <c r="M29" i="9" s="1"/>
  <c r="L28" i="9"/>
  <c r="M28" i="9" s="1"/>
  <c r="L27" i="9"/>
  <c r="M27" i="9" s="1"/>
  <c r="L26" i="9"/>
  <c r="M26" i="9" s="1"/>
  <c r="L25" i="9"/>
  <c r="M25" i="9" s="1"/>
  <c r="L24" i="9"/>
  <c r="M24" i="9" s="1"/>
  <c r="L23" i="9"/>
  <c r="M23" i="9" s="1"/>
  <c r="L22" i="9"/>
  <c r="M22" i="9" s="1"/>
  <c r="L21" i="9"/>
  <c r="M21" i="9" s="1"/>
  <c r="L20" i="9"/>
  <c r="M20" i="9" s="1"/>
  <c r="L19" i="9"/>
  <c r="M19" i="9" s="1"/>
  <c r="L18" i="9"/>
  <c r="M18" i="9" s="1"/>
  <c r="L17" i="9"/>
  <c r="M17" i="9" s="1"/>
  <c r="L16" i="9"/>
  <c r="M16" i="9" s="1"/>
  <c r="L15" i="9"/>
  <c r="M15" i="9" s="1"/>
  <c r="L14" i="9"/>
  <c r="M14" i="9" s="1"/>
  <c r="L13" i="9"/>
  <c r="M13" i="9" s="1"/>
  <c r="L12" i="9"/>
  <c r="M12" i="9" s="1"/>
  <c r="L11" i="9"/>
  <c r="M11" i="9" s="1"/>
  <c r="L10" i="9"/>
  <c r="M10" i="9" s="1"/>
  <c r="L9" i="9"/>
  <c r="M9" i="9" s="1"/>
  <c r="L8" i="9"/>
  <c r="M8" i="9" s="1"/>
  <c r="L7" i="9"/>
  <c r="M7" i="9" s="1"/>
  <c r="L6" i="9"/>
  <c r="M6" i="9" s="1"/>
  <c r="L5" i="9"/>
  <c r="M5" i="9" s="1"/>
  <c r="L4" i="9"/>
  <c r="M4" i="9" s="1"/>
  <c r="L3" i="9"/>
  <c r="M3" i="9" s="1"/>
  <c r="L2" i="9"/>
  <c r="M2" i="9" s="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2" i="6"/>
  <c r="M351" i="5" a="1"/>
  <c r="M351" i="5" s="1"/>
  <c r="M350" i="5" a="1"/>
  <c r="M350" i="5" s="1"/>
  <c r="M349" i="5" a="1"/>
  <c r="M349" i="5" s="1"/>
  <c r="M348" i="5" a="1"/>
  <c r="M348" i="5" s="1"/>
  <c r="M347" i="5" a="1"/>
  <c r="M347" i="5" s="1"/>
  <c r="M346" i="5" a="1"/>
  <c r="M346" i="5" s="1"/>
  <c r="M345" i="5" a="1"/>
  <c r="M345" i="5" s="1"/>
  <c r="M344" i="5" a="1"/>
  <c r="M344" i="5" s="1"/>
  <c r="M343" i="5" a="1"/>
  <c r="M343" i="5" s="1"/>
  <c r="M342" i="5" a="1"/>
  <c r="M342" i="5" s="1"/>
  <c r="M341" i="5" a="1"/>
  <c r="M341" i="5" s="1"/>
  <c r="M340" i="5" a="1"/>
  <c r="M340" i="5" s="1"/>
  <c r="M339" i="5" a="1"/>
  <c r="M339" i="5" s="1"/>
  <c r="M338" i="5" a="1"/>
  <c r="M338" i="5" s="1"/>
  <c r="M337" i="5" a="1"/>
  <c r="M337" i="5" s="1"/>
  <c r="M336" i="5" a="1"/>
  <c r="M336" i="5" s="1"/>
  <c r="M335" i="5" a="1"/>
  <c r="M335" i="5" s="1"/>
  <c r="M334" i="5" a="1"/>
  <c r="M334" i="5" s="1"/>
  <c r="M333" i="5" a="1"/>
  <c r="M333" i="5" s="1"/>
  <c r="M332" i="5" a="1"/>
  <c r="M332" i="5" s="1"/>
  <c r="M331" i="5" a="1"/>
  <c r="M331" i="5" s="1"/>
  <c r="M330" i="5" a="1"/>
  <c r="M330" i="5" s="1"/>
  <c r="M329" i="5" a="1"/>
  <c r="M329" i="5" s="1"/>
  <c r="M328" i="5" a="1"/>
  <c r="M328" i="5" s="1"/>
  <c r="M327" i="5" a="1"/>
  <c r="M327" i="5" s="1"/>
  <c r="M326" i="5" a="1"/>
  <c r="M326" i="5" s="1"/>
  <c r="M325" i="5" a="1"/>
  <c r="M325" i="5" s="1"/>
  <c r="M324" i="5" a="1"/>
  <c r="M324" i="5" s="1"/>
  <c r="M323" i="5" a="1"/>
  <c r="M323" i="5" s="1"/>
  <c r="M322" i="5" a="1"/>
  <c r="M322" i="5" s="1"/>
  <c r="M321" i="5" a="1"/>
  <c r="M321" i="5" s="1"/>
  <c r="M320" i="5" a="1"/>
  <c r="M320" i="5" s="1"/>
  <c r="M319" i="5" a="1"/>
  <c r="M319" i="5" s="1"/>
  <c r="M318" i="5" a="1"/>
  <c r="M318" i="5" s="1"/>
  <c r="M317" i="5" a="1"/>
  <c r="M317" i="5" s="1"/>
  <c r="M316" i="5" a="1"/>
  <c r="M316" i="5" s="1"/>
  <c r="M315" i="5" a="1"/>
  <c r="M315" i="5" s="1"/>
  <c r="M314" i="5" a="1"/>
  <c r="M314" i="5" s="1"/>
  <c r="M313" i="5" a="1"/>
  <c r="M313" i="5" s="1"/>
  <c r="M312" i="5" a="1"/>
  <c r="M312" i="5" s="1"/>
  <c r="M311" i="5" a="1"/>
  <c r="M311" i="5" s="1"/>
  <c r="M310" i="5" a="1"/>
  <c r="M310" i="5" s="1"/>
  <c r="M309" i="5" a="1"/>
  <c r="M309" i="5" s="1"/>
  <c r="M308" i="5" a="1"/>
  <c r="M308" i="5" s="1"/>
  <c r="M307" i="5" a="1"/>
  <c r="M307" i="5" s="1"/>
  <c r="M306" i="5" a="1"/>
  <c r="M306" i="5" s="1"/>
  <c r="M305" i="5" a="1"/>
  <c r="M305" i="5" s="1"/>
  <c r="M304" i="5" a="1"/>
  <c r="M304" i="5" s="1"/>
  <c r="M303" i="5" a="1"/>
  <c r="M303" i="5" s="1"/>
  <c r="M302" i="5" a="1"/>
  <c r="M302" i="5" s="1"/>
  <c r="M301" i="5" a="1"/>
  <c r="M301" i="5" s="1"/>
  <c r="M300" i="5" a="1"/>
  <c r="M300" i="5" s="1"/>
  <c r="M299" i="5" a="1"/>
  <c r="M299" i="5" s="1"/>
  <c r="M298" i="5" a="1"/>
  <c r="M298" i="5" s="1"/>
  <c r="M297" i="5" a="1"/>
  <c r="M297" i="5" s="1"/>
  <c r="M296" i="5" a="1"/>
  <c r="M296" i="5" s="1"/>
  <c r="M295" i="5" a="1"/>
  <c r="M295" i="5" s="1"/>
  <c r="M294" i="5" a="1"/>
  <c r="M294" i="5" s="1"/>
  <c r="M293" i="5" a="1"/>
  <c r="M293" i="5" s="1"/>
  <c r="M292" i="5" a="1"/>
  <c r="M292" i="5" s="1"/>
  <c r="M291" i="5" a="1"/>
  <c r="M291" i="5" s="1"/>
  <c r="M290" i="5" a="1"/>
  <c r="M290" i="5" s="1"/>
  <c r="M289" i="5" a="1"/>
  <c r="M289" i="5" s="1"/>
  <c r="M288" i="5" a="1"/>
  <c r="M288" i="5" s="1"/>
  <c r="M287" i="5" a="1"/>
  <c r="M287" i="5" s="1"/>
  <c r="M286" i="5" a="1"/>
  <c r="M286" i="5" s="1"/>
  <c r="M285" i="5" a="1"/>
  <c r="M285" i="5" s="1"/>
  <c r="M284" i="5" a="1"/>
  <c r="M284" i="5" s="1"/>
  <c r="M283" i="5" a="1"/>
  <c r="M283" i="5" s="1"/>
  <c r="M282" i="5" a="1"/>
  <c r="M282" i="5" s="1"/>
  <c r="M281" i="5" a="1"/>
  <c r="M281" i="5" s="1"/>
  <c r="M280" i="5" a="1"/>
  <c r="M280" i="5" s="1"/>
  <c r="M279" i="5" a="1"/>
  <c r="M279" i="5" s="1"/>
  <c r="M278" i="5" a="1"/>
  <c r="M278" i="5" s="1"/>
  <c r="M277" i="5" a="1"/>
  <c r="M277" i="5" s="1"/>
  <c r="M276" i="5" a="1"/>
  <c r="M276" i="5" s="1"/>
  <c r="M275" i="5" a="1"/>
  <c r="M275" i="5" s="1"/>
  <c r="M274" i="5" a="1"/>
  <c r="M274" i="5" s="1"/>
  <c r="M273" i="5" a="1"/>
  <c r="M273" i="5" s="1"/>
  <c r="M272" i="5" a="1"/>
  <c r="M272" i="5" s="1"/>
  <c r="M271" i="5" a="1"/>
  <c r="M271" i="5" s="1"/>
  <c r="M270" i="5" a="1"/>
  <c r="M270" i="5" s="1"/>
  <c r="M269" i="5" a="1"/>
  <c r="M269" i="5" s="1"/>
  <c r="M268" i="5" a="1"/>
  <c r="M268" i="5" s="1"/>
  <c r="M267" i="5" a="1"/>
  <c r="M267" i="5" s="1"/>
  <c r="M266" i="5" a="1"/>
  <c r="M266" i="5" s="1"/>
  <c r="M265" i="5" a="1"/>
  <c r="M265" i="5" s="1"/>
  <c r="M264" i="5" a="1"/>
  <c r="M264" i="5" s="1"/>
  <c r="M263" i="5" a="1"/>
  <c r="M263" i="5" s="1"/>
  <c r="M262" i="5" a="1"/>
  <c r="M262" i="5" s="1"/>
  <c r="M261" i="5" a="1"/>
  <c r="M261" i="5" s="1"/>
  <c r="M260" i="5" a="1"/>
  <c r="M260" i="5" s="1"/>
  <c r="M259" i="5" a="1"/>
  <c r="M259" i="5" s="1"/>
  <c r="M258" i="5" a="1"/>
  <c r="M258" i="5" s="1"/>
  <c r="M257" i="5" a="1"/>
  <c r="M257" i="5" s="1"/>
  <c r="M256" i="5" a="1"/>
  <c r="M256" i="5" s="1"/>
  <c r="M255" i="5" a="1"/>
  <c r="M255" i="5" s="1"/>
  <c r="M254" i="5" a="1"/>
  <c r="M254" i="5" s="1"/>
  <c r="M253" i="5" a="1"/>
  <c r="M253" i="5" s="1"/>
  <c r="M252" i="5" a="1"/>
  <c r="M252" i="5" s="1"/>
  <c r="M251" i="5" a="1"/>
  <c r="M251" i="5" s="1"/>
  <c r="M250" i="5" a="1"/>
  <c r="M250" i="5" s="1"/>
  <c r="M249" i="5" a="1"/>
  <c r="M249" i="5" s="1"/>
  <c r="M248" i="5" a="1"/>
  <c r="M248" i="5" s="1"/>
  <c r="M247" i="5" a="1"/>
  <c r="M247" i="5" s="1"/>
  <c r="M246" i="5" a="1"/>
  <c r="M246" i="5" s="1"/>
  <c r="M245" i="5" a="1"/>
  <c r="M245" i="5" s="1"/>
  <c r="M244" i="5" a="1"/>
  <c r="M244" i="5" s="1"/>
  <c r="M243" i="5" a="1"/>
  <c r="M243" i="5" s="1"/>
  <c r="M242" i="5" a="1"/>
  <c r="M242" i="5" s="1"/>
  <c r="M241" i="5" a="1"/>
  <c r="M241" i="5" s="1"/>
  <c r="M240" i="5" a="1"/>
  <c r="M240" i="5" s="1"/>
  <c r="M239" i="5" a="1"/>
  <c r="M239" i="5" s="1"/>
  <c r="M238" i="5" a="1"/>
  <c r="M238" i="5" s="1"/>
  <c r="M237" i="5" a="1"/>
  <c r="M237" i="5" s="1"/>
  <c r="M236" i="5" a="1"/>
  <c r="M236" i="5" s="1"/>
  <c r="M235" i="5" a="1"/>
  <c r="M235" i="5" s="1"/>
  <c r="M234" i="5" a="1"/>
  <c r="M234" i="5" s="1"/>
  <c r="M233" i="5" a="1"/>
  <c r="M233" i="5" s="1"/>
  <c r="M232" i="5" a="1"/>
  <c r="M232" i="5" s="1"/>
  <c r="M231" i="5" a="1"/>
  <c r="M231" i="5" s="1"/>
  <c r="M230" i="5" a="1"/>
  <c r="M230" i="5" s="1"/>
  <c r="M229" i="5" a="1"/>
  <c r="M229" i="5" s="1"/>
  <c r="M228" i="5" a="1"/>
  <c r="M228" i="5" s="1"/>
  <c r="M227" i="5" a="1"/>
  <c r="M227" i="5" s="1"/>
  <c r="M226" i="5" a="1"/>
  <c r="M226" i="5" s="1"/>
  <c r="M225" i="5" a="1"/>
  <c r="M225" i="5" s="1"/>
  <c r="M224" i="5" a="1"/>
  <c r="M224" i="5" s="1"/>
  <c r="M223" i="5" a="1"/>
  <c r="M223" i="5" s="1"/>
  <c r="M222" i="5" a="1"/>
  <c r="M222" i="5" s="1"/>
  <c r="M221" i="5" a="1"/>
  <c r="M221" i="5" s="1"/>
  <c r="M220" i="5" a="1"/>
  <c r="M220" i="5" s="1"/>
  <c r="M219" i="5" a="1"/>
  <c r="M219" i="5" s="1"/>
  <c r="M218" i="5" a="1"/>
  <c r="M218" i="5" s="1"/>
  <c r="M217" i="5" a="1"/>
  <c r="M217" i="5" s="1"/>
  <c r="M216" i="5" a="1"/>
  <c r="M216" i="5" s="1"/>
  <c r="M215" i="5" a="1"/>
  <c r="M215" i="5" s="1"/>
  <c r="M214" i="5" a="1"/>
  <c r="M214" i="5" s="1"/>
  <c r="M213" i="5" a="1"/>
  <c r="M213" i="5" s="1"/>
  <c r="M212" i="5" a="1"/>
  <c r="M212" i="5" s="1"/>
  <c r="M211" i="5" a="1"/>
  <c r="M211" i="5" s="1"/>
  <c r="M210" i="5" a="1"/>
  <c r="M210" i="5" s="1"/>
  <c r="M209" i="5" a="1"/>
  <c r="M209" i="5" s="1"/>
  <c r="M208" i="5" a="1"/>
  <c r="M208" i="5" s="1"/>
  <c r="M207" i="5" a="1"/>
  <c r="M207" i="5" s="1"/>
  <c r="M206" i="5" a="1"/>
  <c r="M206" i="5" s="1"/>
  <c r="M205" i="5" a="1"/>
  <c r="M205" i="5" s="1"/>
  <c r="M204" i="5" a="1"/>
  <c r="M204" i="5" s="1"/>
  <c r="M203" i="5" a="1"/>
  <c r="M203" i="5" s="1"/>
  <c r="M202" i="5" a="1"/>
  <c r="M202" i="5" s="1"/>
  <c r="M201" i="5" a="1"/>
  <c r="M201" i="5" s="1"/>
  <c r="M200" i="5" a="1"/>
  <c r="M200" i="5" s="1"/>
  <c r="M199" i="5" a="1"/>
  <c r="M199" i="5" s="1"/>
  <c r="M198" i="5" a="1"/>
  <c r="M198" i="5" s="1"/>
  <c r="M197" i="5" a="1"/>
  <c r="M197" i="5" s="1"/>
  <c r="M196" i="5" a="1"/>
  <c r="M196" i="5" s="1"/>
  <c r="M195" i="5" a="1"/>
  <c r="M195" i="5" s="1"/>
  <c r="M194" i="5" a="1"/>
  <c r="M194" i="5" s="1"/>
  <c r="M193" i="5" a="1"/>
  <c r="M193" i="5" s="1"/>
  <c r="M192" i="5" a="1"/>
  <c r="M192" i="5" s="1"/>
  <c r="M191" i="5" a="1"/>
  <c r="M191" i="5" s="1"/>
  <c r="M190" i="5" a="1"/>
  <c r="M190" i="5" s="1"/>
  <c r="M189" i="5" a="1"/>
  <c r="M189" i="5" s="1"/>
  <c r="M188" i="5" a="1"/>
  <c r="M188" i="5" s="1"/>
  <c r="M187" i="5" a="1"/>
  <c r="M187" i="5" s="1"/>
  <c r="M186" i="5" a="1"/>
  <c r="M186" i="5" s="1"/>
  <c r="M185" i="5" a="1"/>
  <c r="M185" i="5" s="1"/>
  <c r="M184" i="5" a="1"/>
  <c r="M184" i="5" s="1"/>
  <c r="M183" i="5" a="1"/>
  <c r="M183" i="5" s="1"/>
  <c r="M182" i="5" a="1"/>
  <c r="M182" i="5" s="1"/>
  <c r="M181" i="5" a="1"/>
  <c r="M181" i="5" s="1"/>
  <c r="M180" i="5" a="1"/>
  <c r="M180" i="5" s="1"/>
  <c r="M179" i="5" a="1"/>
  <c r="M179" i="5" s="1"/>
  <c r="M178" i="5" a="1"/>
  <c r="M178" i="5" s="1"/>
  <c r="M177" i="5" a="1"/>
  <c r="M177" i="5" s="1"/>
  <c r="M176" i="5" a="1"/>
  <c r="M176" i="5" s="1"/>
  <c r="M175" i="5" a="1"/>
  <c r="M175" i="5" s="1"/>
  <c r="M174" i="5" a="1"/>
  <c r="M174" i="5" s="1"/>
  <c r="M173" i="5" a="1"/>
  <c r="M173" i="5" s="1"/>
  <c r="M172" i="5" a="1"/>
  <c r="M172" i="5" s="1"/>
  <c r="M171" i="5" a="1"/>
  <c r="M171" i="5" s="1"/>
  <c r="M170" i="5" a="1"/>
  <c r="M170" i="5" s="1"/>
  <c r="M169" i="5" a="1"/>
  <c r="M169" i="5" s="1"/>
  <c r="M168" i="5" a="1"/>
  <c r="M168" i="5" s="1"/>
  <c r="M167" i="5" a="1"/>
  <c r="M167" i="5" s="1"/>
  <c r="M166" i="5" a="1"/>
  <c r="M166" i="5" s="1"/>
  <c r="M165" i="5" a="1"/>
  <c r="M165" i="5" s="1"/>
  <c r="M164" i="5" a="1"/>
  <c r="M164" i="5" s="1"/>
  <c r="M163" i="5" a="1"/>
  <c r="M163" i="5" s="1"/>
  <c r="M162" i="5" a="1"/>
  <c r="M162" i="5" s="1"/>
  <c r="M161" i="5" a="1"/>
  <c r="M161" i="5" s="1"/>
  <c r="M160" i="5" a="1"/>
  <c r="M160" i="5" s="1"/>
  <c r="M159" i="5" a="1"/>
  <c r="M159" i="5" s="1"/>
  <c r="M158" i="5" a="1"/>
  <c r="M158" i="5" s="1"/>
  <c r="M157" i="5" a="1"/>
  <c r="M157" i="5" s="1"/>
  <c r="M156" i="5" a="1"/>
  <c r="M156" i="5" s="1"/>
  <c r="M155" i="5" a="1"/>
  <c r="M155" i="5" s="1"/>
  <c r="M154" i="5" a="1"/>
  <c r="M154" i="5" s="1"/>
  <c r="M153" i="5" a="1"/>
  <c r="M153" i="5" s="1"/>
  <c r="M152" i="5" a="1"/>
  <c r="M152" i="5" s="1"/>
  <c r="M151" i="5" a="1"/>
  <c r="M151" i="5" s="1"/>
  <c r="M150" i="5" a="1"/>
  <c r="M150" i="5" s="1"/>
  <c r="M149" i="5" a="1"/>
  <c r="M149" i="5" s="1"/>
  <c r="M148" i="5" a="1"/>
  <c r="M148" i="5" s="1"/>
  <c r="M147" i="5" a="1"/>
  <c r="M147" i="5" s="1"/>
  <c r="M146" i="5" a="1"/>
  <c r="M146" i="5" s="1"/>
  <c r="M145" i="5" a="1"/>
  <c r="M145" i="5" s="1"/>
  <c r="M144" i="5" a="1"/>
  <c r="M144" i="5" s="1"/>
  <c r="M143" i="5" a="1"/>
  <c r="M143" i="5" s="1"/>
  <c r="M142" i="5" a="1"/>
  <c r="M142" i="5" s="1"/>
  <c r="M141" i="5" a="1"/>
  <c r="M141" i="5" s="1"/>
  <c r="M140" i="5" a="1"/>
  <c r="M140" i="5" s="1"/>
  <c r="M139" i="5" a="1"/>
  <c r="M139" i="5" s="1"/>
  <c r="M138" i="5" a="1"/>
  <c r="M138" i="5" s="1"/>
  <c r="M137" i="5" a="1"/>
  <c r="M137" i="5" s="1"/>
  <c r="M136" i="5" a="1"/>
  <c r="M136" i="5" s="1"/>
  <c r="M135" i="5" a="1"/>
  <c r="M135" i="5" s="1"/>
  <c r="M134" i="5" a="1"/>
  <c r="M134" i="5" s="1"/>
  <c r="M133" i="5" a="1"/>
  <c r="M133" i="5" s="1"/>
  <c r="M132" i="5" a="1"/>
  <c r="M132" i="5" s="1"/>
  <c r="M131" i="5" a="1"/>
  <c r="M131" i="5" s="1"/>
  <c r="M130" i="5" a="1"/>
  <c r="M130" i="5" s="1"/>
  <c r="M129" i="5" a="1"/>
  <c r="M129" i="5" s="1"/>
  <c r="M128" i="5" a="1"/>
  <c r="M128" i="5" s="1"/>
  <c r="M127" i="5" a="1"/>
  <c r="M127" i="5" s="1"/>
  <c r="M126" i="5" a="1"/>
  <c r="M126" i="5" s="1"/>
  <c r="M125" i="5" a="1"/>
  <c r="M125" i="5" s="1"/>
  <c r="M124" i="5" a="1"/>
  <c r="M124" i="5" s="1"/>
  <c r="M123" i="5" a="1"/>
  <c r="M123" i="5" s="1"/>
  <c r="M122" i="5" a="1"/>
  <c r="M122" i="5" s="1"/>
  <c r="M121" i="5" a="1"/>
  <c r="M121" i="5" s="1"/>
  <c r="M120" i="5" a="1"/>
  <c r="M120" i="5" s="1"/>
  <c r="M119" i="5" a="1"/>
  <c r="M119" i="5" s="1"/>
  <c r="M118" i="5" a="1"/>
  <c r="M118" i="5" s="1"/>
  <c r="M117" i="5" a="1"/>
  <c r="M117" i="5" s="1"/>
  <c r="M116" i="5" a="1"/>
  <c r="M116" i="5" s="1"/>
  <c r="M115" i="5" a="1"/>
  <c r="M115" i="5" s="1"/>
  <c r="M114" i="5" a="1"/>
  <c r="M114" i="5" s="1"/>
  <c r="M113" i="5" a="1"/>
  <c r="M113" i="5" s="1"/>
  <c r="M112" i="5" a="1"/>
  <c r="M112" i="5" s="1"/>
  <c r="M111" i="5" a="1"/>
  <c r="M111" i="5" s="1"/>
  <c r="M110" i="5" a="1"/>
  <c r="M110" i="5" s="1"/>
  <c r="M109" i="5" a="1"/>
  <c r="M109" i="5" s="1"/>
  <c r="M108" i="5" a="1"/>
  <c r="M108" i="5" s="1"/>
  <c r="M107" i="5" a="1"/>
  <c r="M107" i="5" s="1"/>
  <c r="M106" i="5" a="1"/>
  <c r="M106" i="5" s="1"/>
  <c r="M105" i="5" a="1"/>
  <c r="M105" i="5" s="1"/>
  <c r="M104" i="5" a="1"/>
  <c r="M104" i="5" s="1"/>
  <c r="M103" i="5" a="1"/>
  <c r="M103" i="5" s="1"/>
  <c r="M102" i="5" a="1"/>
  <c r="M102" i="5" s="1"/>
  <c r="M101" i="5" a="1"/>
  <c r="M101" i="5" s="1"/>
  <c r="M100" i="5" a="1"/>
  <c r="M100" i="5" s="1"/>
  <c r="M99" i="5" a="1"/>
  <c r="M99" i="5" s="1"/>
  <c r="M98" i="5" a="1"/>
  <c r="M98" i="5" s="1"/>
  <c r="M97" i="5" a="1"/>
  <c r="M97" i="5" s="1"/>
  <c r="M96" i="5" a="1"/>
  <c r="M96" i="5" s="1"/>
  <c r="M95" i="5" a="1"/>
  <c r="M95" i="5" s="1"/>
  <c r="M94" i="5" a="1"/>
  <c r="M94" i="5" s="1"/>
  <c r="M93" i="5" a="1"/>
  <c r="M93" i="5" s="1"/>
  <c r="M92" i="5" a="1"/>
  <c r="M92" i="5" s="1"/>
  <c r="M91" i="5" a="1"/>
  <c r="M91" i="5" s="1"/>
  <c r="M90" i="5" a="1"/>
  <c r="M90" i="5" s="1"/>
  <c r="M89" i="5" a="1"/>
  <c r="M89" i="5" s="1"/>
  <c r="M88" i="5" a="1"/>
  <c r="M88" i="5" s="1"/>
  <c r="M87" i="5" a="1"/>
  <c r="M87" i="5" s="1"/>
  <c r="M86" i="5" a="1"/>
  <c r="M86" i="5" s="1"/>
  <c r="M85" i="5" a="1"/>
  <c r="M85" i="5" s="1"/>
  <c r="M84" i="5" a="1"/>
  <c r="M84" i="5" s="1"/>
  <c r="M83" i="5" a="1"/>
  <c r="M83" i="5" s="1"/>
  <c r="M82" i="5" a="1"/>
  <c r="M82" i="5" s="1"/>
  <c r="M81" i="5" a="1"/>
  <c r="M81" i="5" s="1"/>
  <c r="M80" i="5" a="1"/>
  <c r="M80" i="5" s="1"/>
  <c r="M79" i="5" a="1"/>
  <c r="M79" i="5" s="1"/>
  <c r="M78" i="5" a="1"/>
  <c r="M78" i="5" s="1"/>
  <c r="M77" i="5" a="1"/>
  <c r="M77" i="5" s="1"/>
  <c r="M76" i="5" a="1"/>
  <c r="M76" i="5" s="1"/>
  <c r="M75" i="5" a="1"/>
  <c r="M75" i="5" s="1"/>
  <c r="M74" i="5" a="1"/>
  <c r="M74" i="5" s="1"/>
  <c r="M73" i="5" a="1"/>
  <c r="M73" i="5" s="1"/>
  <c r="M72" i="5" a="1"/>
  <c r="M72" i="5" s="1"/>
  <c r="M71" i="5" a="1"/>
  <c r="M71" i="5" s="1"/>
  <c r="M70" i="5" a="1"/>
  <c r="M70" i="5" s="1"/>
  <c r="M69" i="5" a="1"/>
  <c r="M69" i="5" s="1"/>
  <c r="M68" i="5" a="1"/>
  <c r="M68" i="5" s="1"/>
  <c r="M67" i="5" a="1"/>
  <c r="M67" i="5" s="1"/>
  <c r="M66" i="5" a="1"/>
  <c r="M66" i="5" s="1"/>
  <c r="M65" i="5" a="1"/>
  <c r="M65" i="5" s="1"/>
  <c r="M64" i="5" a="1"/>
  <c r="M64" i="5" s="1"/>
  <c r="M63" i="5" a="1"/>
  <c r="M63" i="5" s="1"/>
  <c r="M62" i="5" a="1"/>
  <c r="M62" i="5" s="1"/>
  <c r="M61" i="5" a="1"/>
  <c r="M61" i="5" s="1"/>
  <c r="M60" i="5" a="1"/>
  <c r="M60" i="5" s="1"/>
  <c r="M59" i="5" a="1"/>
  <c r="M59" i="5" s="1"/>
  <c r="M58" i="5" a="1"/>
  <c r="M58" i="5" s="1"/>
  <c r="M57" i="5" a="1"/>
  <c r="M57" i="5" s="1"/>
  <c r="M56" i="5" a="1"/>
  <c r="M56" i="5" s="1"/>
  <c r="M55" i="5" a="1"/>
  <c r="M55" i="5" s="1"/>
  <c r="M54" i="5" a="1"/>
  <c r="M54" i="5" s="1"/>
  <c r="M53" i="5" a="1"/>
  <c r="M53" i="5" s="1"/>
  <c r="M52" i="5" a="1"/>
  <c r="M52" i="5" s="1"/>
  <c r="M51" i="5" a="1"/>
  <c r="M51" i="5" s="1"/>
  <c r="M50" i="5" a="1"/>
  <c r="M50" i="5" s="1"/>
  <c r="M49" i="5" a="1"/>
  <c r="M49" i="5" s="1"/>
  <c r="M48" i="5" a="1"/>
  <c r="M48" i="5" s="1"/>
  <c r="M47" i="5" a="1"/>
  <c r="M47" i="5" s="1"/>
  <c r="M46" i="5" a="1"/>
  <c r="M46" i="5" s="1"/>
  <c r="M45" i="5" a="1"/>
  <c r="M45" i="5" s="1"/>
  <c r="M44" i="5" a="1"/>
  <c r="M44" i="5" s="1"/>
  <c r="M43" i="5" a="1"/>
  <c r="M43" i="5" s="1"/>
  <c r="M42" i="5" a="1"/>
  <c r="M42" i="5" s="1"/>
  <c r="M41" i="5" a="1"/>
  <c r="M41" i="5" s="1"/>
  <c r="M40" i="5" a="1"/>
  <c r="M40" i="5" s="1"/>
  <c r="M39" i="5" a="1"/>
  <c r="M39" i="5" s="1"/>
  <c r="M38" i="5" a="1"/>
  <c r="M38" i="5" s="1"/>
  <c r="M37" i="5" a="1"/>
  <c r="M37" i="5" s="1"/>
  <c r="M36" i="5" a="1"/>
  <c r="M36" i="5" s="1"/>
  <c r="M35" i="5" a="1"/>
  <c r="M35" i="5" s="1"/>
  <c r="M34" i="5" a="1"/>
  <c r="M34" i="5" s="1"/>
  <c r="M33" i="5" a="1"/>
  <c r="M33" i="5" s="1"/>
  <c r="M32" i="5" a="1"/>
  <c r="M32" i="5" s="1"/>
  <c r="M31" i="5" a="1"/>
  <c r="M31" i="5" s="1"/>
  <c r="M30" i="5" a="1"/>
  <c r="M30" i="5" s="1"/>
  <c r="M29" i="5" a="1"/>
  <c r="M29" i="5" s="1"/>
  <c r="M28" i="5" a="1"/>
  <c r="M28" i="5" s="1"/>
  <c r="M27" i="5" a="1"/>
  <c r="M27" i="5" s="1"/>
  <c r="M26" i="5" a="1"/>
  <c r="M26" i="5" s="1"/>
  <c r="M25" i="5" a="1"/>
  <c r="M25" i="5" s="1"/>
  <c r="M24" i="5" a="1"/>
  <c r="M24" i="5" s="1"/>
  <c r="M23" i="5" a="1"/>
  <c r="M23" i="5" s="1"/>
  <c r="M22" i="5" a="1"/>
  <c r="M22" i="5" s="1"/>
  <c r="M21" i="5" a="1"/>
  <c r="M21" i="5" s="1"/>
  <c r="M20" i="5" a="1"/>
  <c r="M20" i="5" s="1"/>
  <c r="M19" i="5" a="1"/>
  <c r="M19" i="5" s="1"/>
  <c r="M18" i="5" a="1"/>
  <c r="M18" i="5" s="1"/>
  <c r="M17" i="5" a="1"/>
  <c r="M17" i="5" s="1"/>
  <c r="M16" i="5" a="1"/>
  <c r="M16" i="5" s="1"/>
  <c r="M15" i="5" a="1"/>
  <c r="M15" i="5" s="1"/>
  <c r="M14" i="5" a="1"/>
  <c r="M14" i="5" s="1"/>
  <c r="M13" i="5" a="1"/>
  <c r="M13" i="5" s="1"/>
  <c r="M12" i="5" a="1"/>
  <c r="M12" i="5" s="1"/>
  <c r="M11" i="5" a="1"/>
  <c r="M11" i="5" s="1"/>
  <c r="M10" i="5" a="1"/>
  <c r="M10" i="5" s="1"/>
  <c r="M9" i="5" a="1"/>
  <c r="M9" i="5" s="1"/>
  <c r="M8" i="5" a="1"/>
  <c r="M8" i="5" s="1"/>
  <c r="M7" i="5" a="1"/>
  <c r="M7" i="5" s="1"/>
  <c r="M6" i="5" a="1"/>
  <c r="M6" i="5" s="1"/>
  <c r="M5" i="5" a="1"/>
  <c r="M5" i="5" s="1"/>
  <c r="M4" i="5" a="1"/>
  <c r="M4" i="5" s="1"/>
  <c r="M3" i="5" a="1"/>
  <c r="M3" i="5" s="1"/>
  <c r="M2" i="5" a="1"/>
  <c r="M2" i="5" s="1"/>
  <c r="K351" i="5" a="1"/>
  <c r="K351" i="5" s="1"/>
  <c r="O351" i="5" s="1"/>
  <c r="K350" i="5" a="1"/>
  <c r="K350" i="5" s="1"/>
  <c r="O350" i="5" s="1"/>
  <c r="K349" i="5" a="1"/>
  <c r="K349" i="5" s="1"/>
  <c r="O349" i="5" s="1"/>
  <c r="K348" i="5" a="1"/>
  <c r="K348" i="5" s="1"/>
  <c r="O348" i="5" s="1"/>
  <c r="K347" i="5" a="1"/>
  <c r="K347" i="5" s="1"/>
  <c r="O347" i="5" s="1"/>
  <c r="K346" i="5" a="1"/>
  <c r="K346" i="5" s="1"/>
  <c r="O346" i="5" s="1"/>
  <c r="K345" i="5" a="1"/>
  <c r="K345" i="5" s="1"/>
  <c r="O345" i="5" s="1"/>
  <c r="K344" i="5" a="1"/>
  <c r="K344" i="5" s="1"/>
  <c r="O344" i="5" s="1"/>
  <c r="K343" i="5" a="1"/>
  <c r="K343" i="5" s="1"/>
  <c r="O343" i="5" s="1"/>
  <c r="K342" i="5" a="1"/>
  <c r="K342" i="5" s="1"/>
  <c r="O342" i="5" s="1"/>
  <c r="K341" i="5" a="1"/>
  <c r="K341" i="5" s="1"/>
  <c r="O341" i="5" s="1"/>
  <c r="K340" i="5" a="1"/>
  <c r="K340" i="5" s="1"/>
  <c r="O340" i="5" s="1"/>
  <c r="K339" i="5" a="1"/>
  <c r="K339" i="5" s="1"/>
  <c r="O339" i="5" s="1"/>
  <c r="K338" i="5" a="1"/>
  <c r="K338" i="5" s="1"/>
  <c r="O338" i="5" s="1"/>
  <c r="K337" i="5" a="1"/>
  <c r="K337" i="5" s="1"/>
  <c r="O337" i="5" s="1"/>
  <c r="K336" i="5" a="1"/>
  <c r="K336" i="5" s="1"/>
  <c r="O336" i="5" s="1"/>
  <c r="K335" i="5" a="1"/>
  <c r="K335" i="5" s="1"/>
  <c r="O335" i="5" s="1"/>
  <c r="K334" i="5" a="1"/>
  <c r="K334" i="5" s="1"/>
  <c r="O334" i="5" s="1"/>
  <c r="K333" i="5" a="1"/>
  <c r="K333" i="5" s="1"/>
  <c r="O333" i="5" s="1"/>
  <c r="K332" i="5" a="1"/>
  <c r="K332" i="5" s="1"/>
  <c r="O332" i="5" s="1"/>
  <c r="K331" i="5" a="1"/>
  <c r="K331" i="5" s="1"/>
  <c r="O331" i="5" s="1"/>
  <c r="K330" i="5" a="1"/>
  <c r="K330" i="5" s="1"/>
  <c r="O330" i="5" s="1"/>
  <c r="K329" i="5" a="1"/>
  <c r="K329" i="5" s="1"/>
  <c r="O329" i="5" s="1"/>
  <c r="K328" i="5" a="1"/>
  <c r="K328" i="5" s="1"/>
  <c r="O328" i="5" s="1"/>
  <c r="K327" i="5" a="1"/>
  <c r="K327" i="5" s="1"/>
  <c r="O327" i="5" s="1"/>
  <c r="K326" i="5" a="1"/>
  <c r="K326" i="5" s="1"/>
  <c r="O326" i="5" s="1"/>
  <c r="K325" i="5" a="1"/>
  <c r="K325" i="5" s="1"/>
  <c r="O325" i="5" s="1"/>
  <c r="K324" i="5" a="1"/>
  <c r="K324" i="5" s="1"/>
  <c r="O324" i="5" s="1"/>
  <c r="K323" i="5" a="1"/>
  <c r="K323" i="5" s="1"/>
  <c r="O323" i="5" s="1"/>
  <c r="K322" i="5" a="1"/>
  <c r="K322" i="5" s="1"/>
  <c r="O322" i="5" s="1"/>
  <c r="K321" i="5" a="1"/>
  <c r="K321" i="5" s="1"/>
  <c r="O321" i="5" s="1"/>
  <c r="K320" i="5" a="1"/>
  <c r="K320" i="5" s="1"/>
  <c r="O320" i="5" s="1"/>
  <c r="K319" i="5" a="1"/>
  <c r="K319" i="5" s="1"/>
  <c r="O319" i="5" s="1"/>
  <c r="K318" i="5" a="1"/>
  <c r="K318" i="5" s="1"/>
  <c r="O318" i="5" s="1"/>
  <c r="K317" i="5" a="1"/>
  <c r="K317" i="5" s="1"/>
  <c r="O317" i="5" s="1"/>
  <c r="K316" i="5" a="1"/>
  <c r="K316" i="5" s="1"/>
  <c r="O316" i="5" s="1"/>
  <c r="K315" i="5" a="1"/>
  <c r="K315" i="5" s="1"/>
  <c r="O315" i="5" s="1"/>
  <c r="K314" i="5" a="1"/>
  <c r="K314" i="5" s="1"/>
  <c r="O314" i="5" s="1"/>
  <c r="K313" i="5" a="1"/>
  <c r="K313" i="5" s="1"/>
  <c r="O313" i="5" s="1"/>
  <c r="K312" i="5" a="1"/>
  <c r="K312" i="5" s="1"/>
  <c r="O312" i="5" s="1"/>
  <c r="K311" i="5" a="1"/>
  <c r="K311" i="5" s="1"/>
  <c r="O311" i="5" s="1"/>
  <c r="K310" i="5" a="1"/>
  <c r="K310" i="5" s="1"/>
  <c r="O310" i="5" s="1"/>
  <c r="K309" i="5" a="1"/>
  <c r="K309" i="5" s="1"/>
  <c r="K308" i="5" a="1"/>
  <c r="K308" i="5" s="1"/>
  <c r="O308" i="5" s="1"/>
  <c r="K307" i="5" a="1"/>
  <c r="K307" i="5" s="1"/>
  <c r="O307" i="5" s="1"/>
  <c r="K306" i="5" a="1"/>
  <c r="K306" i="5" s="1"/>
  <c r="O306" i="5" s="1"/>
  <c r="K305" i="5" a="1"/>
  <c r="K305" i="5" s="1"/>
  <c r="O305" i="5" s="1"/>
  <c r="K304" i="5" a="1"/>
  <c r="K304" i="5" s="1"/>
  <c r="O304" i="5" s="1"/>
  <c r="K303" i="5" a="1"/>
  <c r="K303" i="5" s="1"/>
  <c r="O303" i="5" s="1"/>
  <c r="K302" i="5" a="1"/>
  <c r="K302" i="5" s="1"/>
  <c r="O302" i="5" s="1"/>
  <c r="K301" i="5" a="1"/>
  <c r="K301" i="5" s="1"/>
  <c r="K300" i="5" a="1"/>
  <c r="K300" i="5" s="1"/>
  <c r="O300" i="5" s="1"/>
  <c r="K299" i="5" a="1"/>
  <c r="K299" i="5" s="1"/>
  <c r="O299" i="5" s="1"/>
  <c r="K298" i="5" a="1"/>
  <c r="K298" i="5" s="1"/>
  <c r="O298" i="5" s="1"/>
  <c r="K297" i="5" a="1"/>
  <c r="K297" i="5" s="1"/>
  <c r="O297" i="5" s="1"/>
  <c r="K296" i="5" a="1"/>
  <c r="K296" i="5" s="1"/>
  <c r="O296" i="5" s="1"/>
  <c r="K295" i="5" a="1"/>
  <c r="K295" i="5" s="1"/>
  <c r="O295" i="5" s="1"/>
  <c r="K294" i="5" a="1"/>
  <c r="K294" i="5" s="1"/>
  <c r="O294" i="5" s="1"/>
  <c r="K293" i="5" a="1"/>
  <c r="K293" i="5" s="1"/>
  <c r="K292" i="5" a="1"/>
  <c r="K292" i="5" s="1"/>
  <c r="O292" i="5" s="1"/>
  <c r="K291" i="5" a="1"/>
  <c r="K291" i="5" s="1"/>
  <c r="O291" i="5" s="1"/>
  <c r="K290" i="5" a="1"/>
  <c r="K290" i="5" s="1"/>
  <c r="O290" i="5" s="1"/>
  <c r="K289" i="5" a="1"/>
  <c r="K289" i="5" s="1"/>
  <c r="O289" i="5" s="1"/>
  <c r="K288" i="5" a="1"/>
  <c r="K288" i="5" s="1"/>
  <c r="O288" i="5" s="1"/>
  <c r="K287" i="5" a="1"/>
  <c r="K287" i="5" s="1"/>
  <c r="O287" i="5" s="1"/>
  <c r="K286" i="5" a="1"/>
  <c r="K286" i="5" s="1"/>
  <c r="O286" i="5" s="1"/>
  <c r="K285" i="5" a="1"/>
  <c r="K285" i="5" s="1"/>
  <c r="K284" i="5" a="1"/>
  <c r="K284" i="5" s="1"/>
  <c r="O284" i="5" s="1"/>
  <c r="K283" i="5" a="1"/>
  <c r="K283" i="5" s="1"/>
  <c r="O283" i="5" s="1"/>
  <c r="K282" i="5" a="1"/>
  <c r="K282" i="5" s="1"/>
  <c r="O282" i="5" s="1"/>
  <c r="K281" i="5" a="1"/>
  <c r="K281" i="5" s="1"/>
  <c r="O281" i="5" s="1"/>
  <c r="K280" i="5" a="1"/>
  <c r="K280" i="5" s="1"/>
  <c r="O280" i="5" s="1"/>
  <c r="K279" i="5" a="1"/>
  <c r="K279" i="5" s="1"/>
  <c r="O279" i="5" s="1"/>
  <c r="K278" i="5" a="1"/>
  <c r="K278" i="5" s="1"/>
  <c r="O278" i="5" s="1"/>
  <c r="K277" i="5" a="1"/>
  <c r="K277" i="5" s="1"/>
  <c r="K276" i="5" a="1"/>
  <c r="K276" i="5" s="1"/>
  <c r="O276" i="5" s="1"/>
  <c r="K275" i="5" a="1"/>
  <c r="K275" i="5" s="1"/>
  <c r="O275" i="5" s="1"/>
  <c r="K274" i="5" a="1"/>
  <c r="K274" i="5" s="1"/>
  <c r="O274" i="5" s="1"/>
  <c r="K273" i="5" a="1"/>
  <c r="K273" i="5" s="1"/>
  <c r="O273" i="5" s="1"/>
  <c r="K272" i="5" a="1"/>
  <c r="K272" i="5" s="1"/>
  <c r="O272" i="5" s="1"/>
  <c r="K271" i="5" a="1"/>
  <c r="K271" i="5" s="1"/>
  <c r="O271" i="5" s="1"/>
  <c r="K270" i="5" a="1"/>
  <c r="K270" i="5" s="1"/>
  <c r="O270" i="5" s="1"/>
  <c r="K269" i="5" a="1"/>
  <c r="K269" i="5" s="1"/>
  <c r="K268" i="5" a="1"/>
  <c r="K268" i="5" s="1"/>
  <c r="O268" i="5" s="1"/>
  <c r="K267" i="5" a="1"/>
  <c r="K267" i="5" s="1"/>
  <c r="O267" i="5" s="1"/>
  <c r="K266" i="5" a="1"/>
  <c r="K266" i="5" s="1"/>
  <c r="O266" i="5" s="1"/>
  <c r="K265" i="5" a="1"/>
  <c r="K265" i="5" s="1"/>
  <c r="O265" i="5" s="1"/>
  <c r="K264" i="5" a="1"/>
  <c r="K264" i="5" s="1"/>
  <c r="O264" i="5" s="1"/>
  <c r="K263" i="5" a="1"/>
  <c r="K263" i="5" s="1"/>
  <c r="O263" i="5" s="1"/>
  <c r="K262" i="5" a="1"/>
  <c r="K262" i="5" s="1"/>
  <c r="O262" i="5" s="1"/>
  <c r="K261" i="5" a="1"/>
  <c r="K261" i="5" s="1"/>
  <c r="K260" i="5" a="1"/>
  <c r="K260" i="5" s="1"/>
  <c r="O260" i="5" s="1"/>
  <c r="K259" i="5" a="1"/>
  <c r="K259" i="5" s="1"/>
  <c r="O259" i="5" s="1"/>
  <c r="K258" i="5" a="1"/>
  <c r="K258" i="5" s="1"/>
  <c r="O258" i="5" s="1"/>
  <c r="K257" i="5" a="1"/>
  <c r="K257" i="5" s="1"/>
  <c r="O257" i="5" s="1"/>
  <c r="K256" i="5" a="1"/>
  <c r="K256" i="5" s="1"/>
  <c r="O256" i="5" s="1"/>
  <c r="K255" i="5" a="1"/>
  <c r="K255" i="5" s="1"/>
  <c r="O255" i="5" s="1"/>
  <c r="K254" i="5" a="1"/>
  <c r="K254" i="5" s="1"/>
  <c r="O254" i="5" s="1"/>
  <c r="K253" i="5" a="1"/>
  <c r="K253" i="5" s="1"/>
  <c r="K252" i="5" a="1"/>
  <c r="K252" i="5" s="1"/>
  <c r="O252" i="5" s="1"/>
  <c r="K251" i="5" a="1"/>
  <c r="K251" i="5" s="1"/>
  <c r="O251" i="5" s="1"/>
  <c r="K250" i="5" a="1"/>
  <c r="K250" i="5" s="1"/>
  <c r="O250" i="5" s="1"/>
  <c r="K249" i="5" a="1"/>
  <c r="K249" i="5" s="1"/>
  <c r="O249" i="5" s="1"/>
  <c r="K248" i="5" a="1"/>
  <c r="K248" i="5" s="1"/>
  <c r="O248" i="5" s="1"/>
  <c r="K247" i="5" a="1"/>
  <c r="K247" i="5" s="1"/>
  <c r="O247" i="5" s="1"/>
  <c r="K246" i="5" a="1"/>
  <c r="K246" i="5" s="1"/>
  <c r="O246" i="5" s="1"/>
  <c r="K245" i="5" a="1"/>
  <c r="K245" i="5" s="1"/>
  <c r="K244" i="5" a="1"/>
  <c r="K244" i="5" s="1"/>
  <c r="O244" i="5" s="1"/>
  <c r="K243" i="5" a="1"/>
  <c r="K243" i="5" s="1"/>
  <c r="O243" i="5" s="1"/>
  <c r="K242" i="5" a="1"/>
  <c r="K242" i="5" s="1"/>
  <c r="O242" i="5" s="1"/>
  <c r="K241" i="5" a="1"/>
  <c r="K241" i="5" s="1"/>
  <c r="O241" i="5" s="1"/>
  <c r="K240" i="5" a="1"/>
  <c r="K240" i="5" s="1"/>
  <c r="O240" i="5" s="1"/>
  <c r="K239" i="5" a="1"/>
  <c r="K239" i="5" s="1"/>
  <c r="O239" i="5" s="1"/>
  <c r="K238" i="5" a="1"/>
  <c r="K238" i="5" s="1"/>
  <c r="O238" i="5" s="1"/>
  <c r="K237" i="5" a="1"/>
  <c r="K237" i="5" s="1"/>
  <c r="K236" i="5" a="1"/>
  <c r="K236" i="5" s="1"/>
  <c r="O236" i="5" s="1"/>
  <c r="K235" i="5" a="1"/>
  <c r="K235" i="5" s="1"/>
  <c r="O235" i="5" s="1"/>
  <c r="K234" i="5" a="1"/>
  <c r="K234" i="5" s="1"/>
  <c r="O234" i="5" s="1"/>
  <c r="K233" i="5" a="1"/>
  <c r="K233" i="5" s="1"/>
  <c r="O233" i="5" s="1"/>
  <c r="K232" i="5" a="1"/>
  <c r="K232" i="5" s="1"/>
  <c r="O232" i="5" s="1"/>
  <c r="K231" i="5" a="1"/>
  <c r="K231" i="5" s="1"/>
  <c r="O231" i="5" s="1"/>
  <c r="K230" i="5" a="1"/>
  <c r="K230" i="5" s="1"/>
  <c r="O230" i="5" s="1"/>
  <c r="K229" i="5" a="1"/>
  <c r="K229" i="5" s="1"/>
  <c r="O229" i="5" s="1"/>
  <c r="K228" i="5" a="1"/>
  <c r="K228" i="5" s="1"/>
  <c r="O228" i="5" s="1"/>
  <c r="K227" i="5" a="1"/>
  <c r="K227" i="5" s="1"/>
  <c r="O227" i="5" s="1"/>
  <c r="K226" i="5" a="1"/>
  <c r="K226" i="5" s="1"/>
  <c r="O226" i="5" s="1"/>
  <c r="K225" i="5" a="1"/>
  <c r="K225" i="5" s="1"/>
  <c r="O225" i="5" s="1"/>
  <c r="K224" i="5" a="1"/>
  <c r="K224" i="5" s="1"/>
  <c r="O224" i="5" s="1"/>
  <c r="K223" i="5" a="1"/>
  <c r="K223" i="5" s="1"/>
  <c r="O223" i="5" s="1"/>
  <c r="K222" i="5" a="1"/>
  <c r="K222" i="5" s="1"/>
  <c r="O222" i="5" s="1"/>
  <c r="K221" i="5" a="1"/>
  <c r="K221" i="5" s="1"/>
  <c r="O221" i="5" s="1"/>
  <c r="K220" i="5" a="1"/>
  <c r="K220" i="5" s="1"/>
  <c r="O220" i="5" s="1"/>
  <c r="K219" i="5" a="1"/>
  <c r="K219" i="5" s="1"/>
  <c r="O219" i="5" s="1"/>
  <c r="K218" i="5" a="1"/>
  <c r="K218" i="5" s="1"/>
  <c r="O218" i="5" s="1"/>
  <c r="K217" i="5" a="1"/>
  <c r="K217" i="5" s="1"/>
  <c r="O217" i="5" s="1"/>
  <c r="K216" i="5" a="1"/>
  <c r="K216" i="5" s="1"/>
  <c r="O216" i="5" s="1"/>
  <c r="K215" i="5" a="1"/>
  <c r="K215" i="5" s="1"/>
  <c r="O215" i="5" s="1"/>
  <c r="K214" i="5" a="1"/>
  <c r="K214" i="5" s="1"/>
  <c r="O214" i="5" s="1"/>
  <c r="K213" i="5" a="1"/>
  <c r="K213" i="5" s="1"/>
  <c r="O213" i="5" s="1"/>
  <c r="K212" i="5" a="1"/>
  <c r="K212" i="5" s="1"/>
  <c r="O212" i="5" s="1"/>
  <c r="K211" i="5" a="1"/>
  <c r="K211" i="5" s="1"/>
  <c r="O211" i="5" s="1"/>
  <c r="K210" i="5" a="1"/>
  <c r="K210" i="5" s="1"/>
  <c r="O210" i="5" s="1"/>
  <c r="K209" i="5" a="1"/>
  <c r="K209" i="5" s="1"/>
  <c r="O209" i="5" s="1"/>
  <c r="K208" i="5" a="1"/>
  <c r="K208" i="5" s="1"/>
  <c r="O208" i="5" s="1"/>
  <c r="K207" i="5" a="1"/>
  <c r="K207" i="5" s="1"/>
  <c r="O207" i="5" s="1"/>
  <c r="K206" i="5" a="1"/>
  <c r="K206" i="5" s="1"/>
  <c r="O206" i="5" s="1"/>
  <c r="K205" i="5" a="1"/>
  <c r="K205" i="5" s="1"/>
  <c r="O205" i="5" s="1"/>
  <c r="K204" i="5" a="1"/>
  <c r="K204" i="5" s="1"/>
  <c r="O204" i="5" s="1"/>
  <c r="K203" i="5" a="1"/>
  <c r="K203" i="5" s="1"/>
  <c r="O203" i="5" s="1"/>
  <c r="K202" i="5" a="1"/>
  <c r="K202" i="5" s="1"/>
  <c r="O202" i="5" s="1"/>
  <c r="K201" i="5" a="1"/>
  <c r="K201" i="5" s="1"/>
  <c r="O201" i="5" s="1"/>
  <c r="K200" i="5" a="1"/>
  <c r="K200" i="5" s="1"/>
  <c r="O200" i="5" s="1"/>
  <c r="K199" i="5" a="1"/>
  <c r="K199" i="5" s="1"/>
  <c r="O199" i="5" s="1"/>
  <c r="K198" i="5" a="1"/>
  <c r="K198" i="5" s="1"/>
  <c r="O198" i="5" s="1"/>
  <c r="K197" i="5" a="1"/>
  <c r="K197" i="5" s="1"/>
  <c r="O197" i="5" s="1"/>
  <c r="K196" i="5" a="1"/>
  <c r="K196" i="5" s="1"/>
  <c r="O196" i="5" s="1"/>
  <c r="K195" i="5" a="1"/>
  <c r="K195" i="5" s="1"/>
  <c r="O195" i="5" s="1"/>
  <c r="K194" i="5" a="1"/>
  <c r="K194" i="5" s="1"/>
  <c r="O194" i="5" s="1"/>
  <c r="K193" i="5" a="1"/>
  <c r="K193" i="5" s="1"/>
  <c r="O193" i="5" s="1"/>
  <c r="K192" i="5" a="1"/>
  <c r="K192" i="5" s="1"/>
  <c r="O192" i="5" s="1"/>
  <c r="K191" i="5" a="1"/>
  <c r="K191" i="5" s="1"/>
  <c r="O191" i="5" s="1"/>
  <c r="K190" i="5" a="1"/>
  <c r="K190" i="5" s="1"/>
  <c r="O190" i="5" s="1"/>
  <c r="K189" i="5" a="1"/>
  <c r="K189" i="5" s="1"/>
  <c r="O189" i="5" s="1"/>
  <c r="K188" i="5" a="1"/>
  <c r="K188" i="5" s="1"/>
  <c r="O188" i="5" s="1"/>
  <c r="K187" i="5" a="1"/>
  <c r="K187" i="5" s="1"/>
  <c r="O187" i="5" s="1"/>
  <c r="K186" i="5" a="1"/>
  <c r="K186" i="5" s="1"/>
  <c r="O186" i="5" s="1"/>
  <c r="K185" i="5" a="1"/>
  <c r="K185" i="5" s="1"/>
  <c r="O185" i="5" s="1"/>
  <c r="K184" i="5" a="1"/>
  <c r="K184" i="5" s="1"/>
  <c r="O184" i="5" s="1"/>
  <c r="K183" i="5" a="1"/>
  <c r="K183" i="5" s="1"/>
  <c r="O183" i="5" s="1"/>
  <c r="K182" i="5" a="1"/>
  <c r="K182" i="5" s="1"/>
  <c r="O182" i="5" s="1"/>
  <c r="K181" i="5" a="1"/>
  <c r="K181" i="5" s="1"/>
  <c r="O181" i="5" s="1"/>
  <c r="K180" i="5" a="1"/>
  <c r="K180" i="5" s="1"/>
  <c r="O180" i="5" s="1"/>
  <c r="K179" i="5" a="1"/>
  <c r="K179" i="5" s="1"/>
  <c r="O179" i="5" s="1"/>
  <c r="K178" i="5" a="1"/>
  <c r="K178" i="5" s="1"/>
  <c r="O178" i="5" s="1"/>
  <c r="K177" i="5" a="1"/>
  <c r="K177" i="5" s="1"/>
  <c r="O177" i="5" s="1"/>
  <c r="K176" i="5" a="1"/>
  <c r="K176" i="5" s="1"/>
  <c r="O176" i="5" s="1"/>
  <c r="K175" i="5" a="1"/>
  <c r="K175" i="5" s="1"/>
  <c r="O175" i="5" s="1"/>
  <c r="K174" i="5" a="1"/>
  <c r="K174" i="5" s="1"/>
  <c r="O174" i="5" s="1"/>
  <c r="K173" i="5" a="1"/>
  <c r="K173" i="5" s="1"/>
  <c r="O173" i="5" s="1"/>
  <c r="K172" i="5" a="1"/>
  <c r="K172" i="5" s="1"/>
  <c r="O172" i="5" s="1"/>
  <c r="K171" i="5" a="1"/>
  <c r="K171" i="5" s="1"/>
  <c r="O171" i="5" s="1"/>
  <c r="K170" i="5" a="1"/>
  <c r="K170" i="5" s="1"/>
  <c r="O170" i="5" s="1"/>
  <c r="K169" i="5" a="1"/>
  <c r="K169" i="5" s="1"/>
  <c r="O169" i="5" s="1"/>
  <c r="K168" i="5" a="1"/>
  <c r="K168" i="5" s="1"/>
  <c r="O168" i="5" s="1"/>
  <c r="K167" i="5" a="1"/>
  <c r="K167" i="5" s="1"/>
  <c r="O167" i="5" s="1"/>
  <c r="K166" i="5" a="1"/>
  <c r="K166" i="5" s="1"/>
  <c r="O166" i="5" s="1"/>
  <c r="K165" i="5" a="1"/>
  <c r="K165" i="5" s="1"/>
  <c r="O165" i="5" s="1"/>
  <c r="K164" i="5" a="1"/>
  <c r="K164" i="5" s="1"/>
  <c r="O164" i="5" s="1"/>
  <c r="K163" i="5" a="1"/>
  <c r="K163" i="5" s="1"/>
  <c r="O163" i="5" s="1"/>
  <c r="K162" i="5" a="1"/>
  <c r="K162" i="5" s="1"/>
  <c r="O162" i="5" s="1"/>
  <c r="K161" i="5" a="1"/>
  <c r="K161" i="5" s="1"/>
  <c r="O161" i="5" s="1"/>
  <c r="K160" i="5" a="1"/>
  <c r="K160" i="5" s="1"/>
  <c r="O160" i="5" s="1"/>
  <c r="K159" i="5" a="1"/>
  <c r="K159" i="5" s="1"/>
  <c r="O159" i="5" s="1"/>
  <c r="K158" i="5" a="1"/>
  <c r="K158" i="5" s="1"/>
  <c r="K157" i="5" a="1"/>
  <c r="K157" i="5" s="1"/>
  <c r="O157" i="5" s="1"/>
  <c r="K156" i="5" a="1"/>
  <c r="K156" i="5" s="1"/>
  <c r="O156" i="5" s="1"/>
  <c r="K155" i="5" a="1"/>
  <c r="K155" i="5" s="1"/>
  <c r="O155" i="5" s="1"/>
  <c r="K154" i="5" a="1"/>
  <c r="K154" i="5" s="1"/>
  <c r="O154" i="5" s="1"/>
  <c r="K153" i="5" a="1"/>
  <c r="K153" i="5" s="1"/>
  <c r="O153" i="5" s="1"/>
  <c r="K152" i="5" a="1"/>
  <c r="K152" i="5" s="1"/>
  <c r="O152" i="5" s="1"/>
  <c r="K151" i="5" a="1"/>
  <c r="K151" i="5" s="1"/>
  <c r="O151" i="5" s="1"/>
  <c r="K150" i="5" a="1"/>
  <c r="K150" i="5" s="1"/>
  <c r="K149" i="5" a="1"/>
  <c r="K149" i="5" s="1"/>
  <c r="O149" i="5" s="1"/>
  <c r="K148" i="5" a="1"/>
  <c r="K148" i="5" s="1"/>
  <c r="O148" i="5" s="1"/>
  <c r="K147" i="5" a="1"/>
  <c r="K147" i="5" s="1"/>
  <c r="O147" i="5" s="1"/>
  <c r="K146" i="5" a="1"/>
  <c r="K146" i="5" s="1"/>
  <c r="O146" i="5" s="1"/>
  <c r="K145" i="5" a="1"/>
  <c r="K145" i="5" s="1"/>
  <c r="O145" i="5" s="1"/>
  <c r="K144" i="5" a="1"/>
  <c r="K144" i="5" s="1"/>
  <c r="O144" i="5" s="1"/>
  <c r="K143" i="5" a="1"/>
  <c r="K143" i="5" s="1"/>
  <c r="O143" i="5" s="1"/>
  <c r="K142" i="5" a="1"/>
  <c r="K142" i="5" s="1"/>
  <c r="K141" i="5" a="1"/>
  <c r="K141" i="5" s="1"/>
  <c r="O141" i="5" s="1"/>
  <c r="K140" i="5" a="1"/>
  <c r="K140" i="5" s="1"/>
  <c r="O140" i="5" s="1"/>
  <c r="K139" i="5" a="1"/>
  <c r="K139" i="5" s="1"/>
  <c r="O139" i="5" s="1"/>
  <c r="K138" i="5" a="1"/>
  <c r="K138" i="5" s="1"/>
  <c r="O138" i="5" s="1"/>
  <c r="K137" i="5" a="1"/>
  <c r="K137" i="5" s="1"/>
  <c r="O137" i="5" s="1"/>
  <c r="K136" i="5" a="1"/>
  <c r="K136" i="5" s="1"/>
  <c r="O136" i="5" s="1"/>
  <c r="K135" i="5" a="1"/>
  <c r="K135" i="5" s="1"/>
  <c r="O135" i="5" s="1"/>
  <c r="K134" i="5" a="1"/>
  <c r="K134" i="5" s="1"/>
  <c r="K133" i="5" a="1"/>
  <c r="K133" i="5" s="1"/>
  <c r="O133" i="5" s="1"/>
  <c r="K132" i="5" a="1"/>
  <c r="K132" i="5" s="1"/>
  <c r="O132" i="5" s="1"/>
  <c r="K131" i="5" a="1"/>
  <c r="K131" i="5" s="1"/>
  <c r="O131" i="5" s="1"/>
  <c r="K130" i="5" a="1"/>
  <c r="K130" i="5" s="1"/>
  <c r="O130" i="5" s="1"/>
  <c r="K129" i="5" a="1"/>
  <c r="K129" i="5" s="1"/>
  <c r="O129" i="5" s="1"/>
  <c r="K128" i="5" a="1"/>
  <c r="K128" i="5" s="1"/>
  <c r="O128" i="5" s="1"/>
  <c r="K127" i="5" a="1"/>
  <c r="K127" i="5" s="1"/>
  <c r="O127" i="5" s="1"/>
  <c r="K126" i="5" a="1"/>
  <c r="K126" i="5" s="1"/>
  <c r="K125" i="5" a="1"/>
  <c r="K125" i="5" s="1"/>
  <c r="O125" i="5" s="1"/>
  <c r="K124" i="5" a="1"/>
  <c r="K124" i="5" s="1"/>
  <c r="O124" i="5" s="1"/>
  <c r="Q2" i="5" s="1"/>
  <c r="K123" i="5" a="1"/>
  <c r="K123" i="5" s="1"/>
  <c r="O123" i="5" s="1"/>
  <c r="K122" i="5" a="1"/>
  <c r="K122" i="5" s="1"/>
  <c r="O122" i="5" s="1"/>
  <c r="K121" i="5" a="1"/>
  <c r="K121" i="5" s="1"/>
  <c r="O121" i="5" s="1"/>
  <c r="K120" i="5" a="1"/>
  <c r="K120" i="5" s="1"/>
  <c r="O120" i="5" s="1"/>
  <c r="K119" i="5" a="1"/>
  <c r="K119" i="5" s="1"/>
  <c r="O119" i="5" s="1"/>
  <c r="K118" i="5" a="1"/>
  <c r="K118" i="5" s="1"/>
  <c r="K117" i="5" a="1"/>
  <c r="K117" i="5" s="1"/>
  <c r="O117" i="5" s="1"/>
  <c r="K116" i="5" a="1"/>
  <c r="K116" i="5" s="1"/>
  <c r="O116" i="5" s="1"/>
  <c r="K115" i="5" a="1"/>
  <c r="K115" i="5" s="1"/>
  <c r="O115" i="5" s="1"/>
  <c r="K114" i="5" a="1"/>
  <c r="K114" i="5" s="1"/>
  <c r="O114" i="5" s="1"/>
  <c r="K113" i="5" a="1"/>
  <c r="K113" i="5" s="1"/>
  <c r="O113" i="5" s="1"/>
  <c r="K112" i="5" a="1"/>
  <c r="K112" i="5" s="1"/>
  <c r="O112" i="5" s="1"/>
  <c r="K111" i="5" a="1"/>
  <c r="K111" i="5" s="1"/>
  <c r="O111" i="5" s="1"/>
  <c r="K110" i="5" a="1"/>
  <c r="K110" i="5" s="1"/>
  <c r="K109" i="5" a="1"/>
  <c r="K109" i="5" s="1"/>
  <c r="O109" i="5" s="1"/>
  <c r="K108" i="5" a="1"/>
  <c r="K108" i="5" s="1"/>
  <c r="O108" i="5" s="1"/>
  <c r="K107" i="5" a="1"/>
  <c r="K107" i="5" s="1"/>
  <c r="O107" i="5" s="1"/>
  <c r="K106" i="5" a="1"/>
  <c r="K106" i="5" s="1"/>
  <c r="O106" i="5" s="1"/>
  <c r="K105" i="5" a="1"/>
  <c r="K105" i="5" s="1"/>
  <c r="O105" i="5" s="1"/>
  <c r="K104" i="5" a="1"/>
  <c r="K104" i="5" s="1"/>
  <c r="O104" i="5" s="1"/>
  <c r="K103" i="5" a="1"/>
  <c r="K103" i="5" s="1"/>
  <c r="O103" i="5" s="1"/>
  <c r="K102" i="5" a="1"/>
  <c r="K102" i="5" s="1"/>
  <c r="K101" i="5" a="1"/>
  <c r="K101" i="5" s="1"/>
  <c r="O101" i="5" s="1"/>
  <c r="K100" i="5" a="1"/>
  <c r="K100" i="5" s="1"/>
  <c r="O100" i="5" s="1"/>
  <c r="K99" i="5" a="1"/>
  <c r="K99" i="5" s="1"/>
  <c r="O99" i="5" s="1"/>
  <c r="K98" i="5" a="1"/>
  <c r="K98" i="5" s="1"/>
  <c r="O98" i="5" s="1"/>
  <c r="K97" i="5" a="1"/>
  <c r="K97" i="5" s="1"/>
  <c r="O97" i="5" s="1"/>
  <c r="K96" i="5" a="1"/>
  <c r="K96" i="5" s="1"/>
  <c r="O96" i="5" s="1"/>
  <c r="K95" i="5" a="1"/>
  <c r="K95" i="5" s="1"/>
  <c r="O95" i="5" s="1"/>
  <c r="K94" i="5" a="1"/>
  <c r="K94" i="5" s="1"/>
  <c r="K93" i="5" a="1"/>
  <c r="K93" i="5" s="1"/>
  <c r="O93" i="5" s="1"/>
  <c r="K92" i="5" a="1"/>
  <c r="K92" i="5" s="1"/>
  <c r="O92" i="5" s="1"/>
  <c r="K91" i="5" a="1"/>
  <c r="K91" i="5" s="1"/>
  <c r="O91" i="5" s="1"/>
  <c r="K90" i="5" a="1"/>
  <c r="K90" i="5" s="1"/>
  <c r="O90" i="5" s="1"/>
  <c r="K89" i="5" a="1"/>
  <c r="K89" i="5" s="1"/>
  <c r="O89" i="5" s="1"/>
  <c r="K88" i="5" a="1"/>
  <c r="K88" i="5" s="1"/>
  <c r="O88" i="5" s="1"/>
  <c r="K87" i="5" a="1"/>
  <c r="K87" i="5" s="1"/>
  <c r="O87" i="5" s="1"/>
  <c r="K86" i="5" a="1"/>
  <c r="K86" i="5" s="1"/>
  <c r="K85" i="5" a="1"/>
  <c r="K85" i="5" s="1"/>
  <c r="O85" i="5" s="1"/>
  <c r="K84" i="5" a="1"/>
  <c r="K84" i="5" s="1"/>
  <c r="O84" i="5" s="1"/>
  <c r="K83" i="5" a="1"/>
  <c r="K83" i="5" s="1"/>
  <c r="O83" i="5" s="1"/>
  <c r="K82" i="5" a="1"/>
  <c r="K82" i="5" s="1"/>
  <c r="O82" i="5" s="1"/>
  <c r="K81" i="5" a="1"/>
  <c r="K81" i="5" s="1"/>
  <c r="O81" i="5" s="1"/>
  <c r="K80" i="5" a="1"/>
  <c r="K80" i="5" s="1"/>
  <c r="O80" i="5" s="1"/>
  <c r="K79" i="5" a="1"/>
  <c r="K79" i="5" s="1"/>
  <c r="O79" i="5" s="1"/>
  <c r="K78" i="5" a="1"/>
  <c r="K78" i="5" s="1"/>
  <c r="K77" i="5" a="1"/>
  <c r="K77" i="5" s="1"/>
  <c r="O77" i="5" s="1"/>
  <c r="K76" i="5" a="1"/>
  <c r="K76" i="5" s="1"/>
  <c r="O76" i="5" s="1"/>
  <c r="K75" i="5" a="1"/>
  <c r="K75" i="5" s="1"/>
  <c r="O75" i="5" s="1"/>
  <c r="K74" i="5" a="1"/>
  <c r="K74" i="5" s="1"/>
  <c r="O74" i="5" s="1"/>
  <c r="K73" i="5" a="1"/>
  <c r="K73" i="5" s="1"/>
  <c r="O73" i="5" s="1"/>
  <c r="K72" i="5" a="1"/>
  <c r="K72" i="5" s="1"/>
  <c r="O72" i="5" s="1"/>
  <c r="K71" i="5" a="1"/>
  <c r="K71" i="5" s="1"/>
  <c r="O71" i="5" s="1"/>
  <c r="K70" i="5" a="1"/>
  <c r="K70" i="5" s="1"/>
  <c r="K69" i="5" a="1"/>
  <c r="K69" i="5" s="1"/>
  <c r="O69" i="5" s="1"/>
  <c r="K68" i="5" a="1"/>
  <c r="K68" i="5" s="1"/>
  <c r="O68" i="5" s="1"/>
  <c r="K67" i="5" a="1"/>
  <c r="K67" i="5" s="1"/>
  <c r="O67" i="5" s="1"/>
  <c r="K66" i="5" a="1"/>
  <c r="K66" i="5" s="1"/>
  <c r="O66" i="5" s="1"/>
  <c r="K65" i="5" a="1"/>
  <c r="K65" i="5" s="1"/>
  <c r="O65" i="5" s="1"/>
  <c r="K64" i="5" a="1"/>
  <c r="K64" i="5" s="1"/>
  <c r="O64" i="5" s="1"/>
  <c r="K63" i="5" a="1"/>
  <c r="K63" i="5" s="1"/>
  <c r="O63" i="5" s="1"/>
  <c r="K62" i="5" a="1"/>
  <c r="K62" i="5" s="1"/>
  <c r="K61" i="5" a="1"/>
  <c r="K61" i="5" s="1"/>
  <c r="O61" i="5" s="1"/>
  <c r="K60" i="5" a="1"/>
  <c r="K60" i="5" s="1"/>
  <c r="O60" i="5" s="1"/>
  <c r="K59" i="5" a="1"/>
  <c r="K59" i="5" s="1"/>
  <c r="O59" i="5" s="1"/>
  <c r="K58" i="5" a="1"/>
  <c r="K58" i="5" s="1"/>
  <c r="O58" i="5" s="1"/>
  <c r="K57" i="5" a="1"/>
  <c r="K57" i="5" s="1"/>
  <c r="O57" i="5" s="1"/>
  <c r="K56" i="5" a="1"/>
  <c r="K56" i="5" s="1"/>
  <c r="O56" i="5" s="1"/>
  <c r="K55" i="5" a="1"/>
  <c r="K55" i="5" s="1"/>
  <c r="O55" i="5" s="1"/>
  <c r="K54" i="5" a="1"/>
  <c r="K54" i="5" s="1"/>
  <c r="K53" i="5" a="1"/>
  <c r="K53" i="5" s="1"/>
  <c r="O53" i="5" s="1"/>
  <c r="K52" i="5" a="1"/>
  <c r="K52" i="5" s="1"/>
  <c r="O52" i="5" s="1"/>
  <c r="K51" i="5" a="1"/>
  <c r="K51" i="5" s="1"/>
  <c r="O51" i="5" s="1"/>
  <c r="K50" i="5" a="1"/>
  <c r="K50" i="5" s="1"/>
  <c r="O50" i="5" s="1"/>
  <c r="K49" i="5" a="1"/>
  <c r="K49" i="5" s="1"/>
  <c r="O49" i="5" s="1"/>
  <c r="K48" i="5" a="1"/>
  <c r="K48" i="5" s="1"/>
  <c r="O48" i="5" s="1"/>
  <c r="K47" i="5" a="1"/>
  <c r="K47" i="5" s="1"/>
  <c r="O47" i="5" s="1"/>
  <c r="K46" i="5" a="1"/>
  <c r="K46" i="5" s="1"/>
  <c r="K45" i="5" a="1"/>
  <c r="K45" i="5" s="1"/>
  <c r="O45" i="5" s="1"/>
  <c r="K44" i="5" a="1"/>
  <c r="K44" i="5" s="1"/>
  <c r="O44" i="5" s="1"/>
  <c r="K43" i="5" a="1"/>
  <c r="K43" i="5" s="1"/>
  <c r="O43" i="5" s="1"/>
  <c r="K42" i="5" a="1"/>
  <c r="K42" i="5" s="1"/>
  <c r="O42" i="5" s="1"/>
  <c r="K41" i="5" a="1"/>
  <c r="K41" i="5" s="1"/>
  <c r="O41" i="5" s="1"/>
  <c r="K40" i="5" a="1"/>
  <c r="K40" i="5" s="1"/>
  <c r="O40" i="5" s="1"/>
  <c r="K39" i="5" a="1"/>
  <c r="K39" i="5" s="1"/>
  <c r="O39" i="5" s="1"/>
  <c r="K38" i="5" a="1"/>
  <c r="K38" i="5" s="1"/>
  <c r="K37" i="5" a="1"/>
  <c r="K37" i="5" s="1"/>
  <c r="O37" i="5" s="1"/>
  <c r="K36" i="5" a="1"/>
  <c r="K36" i="5" s="1"/>
  <c r="O36" i="5" s="1"/>
  <c r="K35" i="5" a="1"/>
  <c r="K35" i="5" s="1"/>
  <c r="O35" i="5" s="1"/>
  <c r="K34" i="5" a="1"/>
  <c r="K34" i="5" s="1"/>
  <c r="O34" i="5" s="1"/>
  <c r="K33" i="5" a="1"/>
  <c r="K33" i="5" s="1"/>
  <c r="O33" i="5" s="1"/>
  <c r="K32" i="5" a="1"/>
  <c r="K32" i="5" s="1"/>
  <c r="O32" i="5" s="1"/>
  <c r="K31" i="5" a="1"/>
  <c r="K31" i="5" s="1"/>
  <c r="O31" i="5" s="1"/>
  <c r="K30" i="5" a="1"/>
  <c r="K30" i="5" s="1"/>
  <c r="K29" i="5" a="1"/>
  <c r="K29" i="5" s="1"/>
  <c r="K28" i="5" a="1"/>
  <c r="K28" i="5" s="1"/>
  <c r="O28" i="5" s="1"/>
  <c r="K27" i="5" a="1"/>
  <c r="K27" i="5" s="1"/>
  <c r="O27" i="5" s="1"/>
  <c r="K26" i="5" a="1"/>
  <c r="K26" i="5" s="1"/>
  <c r="O26" i="5" s="1"/>
  <c r="K25" i="5" a="1"/>
  <c r="K25" i="5" s="1"/>
  <c r="O25" i="5" s="1"/>
  <c r="K24" i="5" a="1"/>
  <c r="K24" i="5" s="1"/>
  <c r="O24" i="5" s="1"/>
  <c r="K23" i="5" a="1"/>
  <c r="K23" i="5" s="1"/>
  <c r="O23" i="5" s="1"/>
  <c r="K22" i="5" a="1"/>
  <c r="K22" i="5" s="1"/>
  <c r="K21" i="5" a="1"/>
  <c r="K21" i="5" s="1"/>
  <c r="K20" i="5" a="1"/>
  <c r="K20" i="5" s="1"/>
  <c r="O20" i="5" s="1"/>
  <c r="K19" i="5" a="1"/>
  <c r="K19" i="5" s="1"/>
  <c r="O19" i="5" s="1"/>
  <c r="K18" i="5" a="1"/>
  <c r="K18" i="5" s="1"/>
  <c r="O18" i="5" s="1"/>
  <c r="K17" i="5" a="1"/>
  <c r="K17" i="5" s="1"/>
  <c r="O17" i="5" s="1"/>
  <c r="K16" i="5" a="1"/>
  <c r="K16" i="5" s="1"/>
  <c r="O16" i="5" s="1"/>
  <c r="K15" i="5" a="1"/>
  <c r="K15" i="5" s="1"/>
  <c r="O15" i="5" s="1"/>
  <c r="K14" i="5" a="1"/>
  <c r="K14" i="5" s="1"/>
  <c r="K13" i="5" a="1"/>
  <c r="K13" i="5" s="1"/>
  <c r="K12" i="5" a="1"/>
  <c r="K12" i="5" s="1"/>
  <c r="O12" i="5" s="1"/>
  <c r="K11" i="5" a="1"/>
  <c r="K11" i="5" s="1"/>
  <c r="O11" i="5" s="1"/>
  <c r="K10" i="5" a="1"/>
  <c r="K10" i="5" s="1"/>
  <c r="O10" i="5" s="1"/>
  <c r="K9" i="5" a="1"/>
  <c r="K9" i="5" s="1"/>
  <c r="O9" i="5" s="1"/>
  <c r="K8" i="5" a="1"/>
  <c r="K8" i="5" s="1"/>
  <c r="O8" i="5" s="1"/>
  <c r="K7" i="5" a="1"/>
  <c r="K7" i="5" s="1"/>
  <c r="O7" i="5" s="1"/>
  <c r="K6" i="5" a="1"/>
  <c r="K6" i="5" s="1"/>
  <c r="K5" i="5" a="1"/>
  <c r="K5" i="5" s="1"/>
  <c r="K4" i="5" a="1"/>
  <c r="K4" i="5" s="1"/>
  <c r="O4" i="5" s="1"/>
  <c r="K3" i="5" a="1"/>
  <c r="K3" i="5" s="1"/>
  <c r="O3" i="5" s="1"/>
  <c r="K2" i="5" a="1"/>
  <c r="K2" i="5" s="1"/>
  <c r="O2" i="5" s="1"/>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O6" i="5" l="1"/>
  <c r="O14" i="5"/>
  <c r="O22" i="5"/>
  <c r="O30" i="5"/>
  <c r="O38" i="5"/>
  <c r="O46" i="5"/>
  <c r="O54" i="5"/>
  <c r="O62" i="5"/>
  <c r="O70" i="5"/>
  <c r="O78" i="5"/>
  <c r="O86" i="5"/>
  <c r="O94" i="5"/>
  <c r="O102" i="5"/>
  <c r="O110" i="5"/>
  <c r="O118" i="5"/>
  <c r="O126" i="5"/>
  <c r="O134" i="5"/>
  <c r="O142" i="5"/>
  <c r="O150" i="5"/>
  <c r="O158" i="5"/>
  <c r="O5" i="5"/>
  <c r="O13" i="5"/>
  <c r="O21" i="5"/>
  <c r="O29" i="5"/>
  <c r="O237" i="5"/>
  <c r="O245" i="5"/>
  <c r="O253" i="5"/>
  <c r="O261" i="5"/>
  <c r="O269" i="5"/>
  <c r="O277" i="5"/>
  <c r="O285" i="5"/>
  <c r="O293" i="5"/>
  <c r="O301" i="5"/>
  <c r="O30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<sst xmlns="http://schemas.openxmlformats.org/spreadsheetml/2006/main" count="8541" uniqueCount="437">
  <si>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</si>
  <si>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</si>
  <si>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</si>
  <si>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</si>
  <si>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</si>
  <si>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</si>
  <si>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</si>
  <si>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</si>
  <si>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</si>
  <si>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</si>
  <si>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</si>
  <si>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</si>
  <si>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</si>
  <si>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</si>
  <si>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</si>
  <si>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</si>
  <si>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</si>
  <si>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</si>
  <si>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</si>
  <si>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</si>
  <si>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</si>
  <si>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</si>
  <si>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</si>
  <si>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</si>
  <si>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</si>
  <si>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</si>
  <si>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</si>
  <si>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</si>
  <si>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</si>
  <si>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</si>
  <si>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</si>
  <si>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</si>
  <si>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</si>
  <si>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</si>
  <si>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</si>
  <si>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</si>
  <si>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</si>
  <si>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</si>
  <si>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</si>
  <si>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</si>
  <si>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</si>
  <si>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</si>
  <si>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</si>
  <si>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</si>
  <si>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</si>
  <si>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</si>
  <si>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</si>
  <si>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</si>
  <si>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</si>
  <si>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</si>
  <si>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</si>
  <si>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</si>
  <si>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</si>
  <si>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</si>
  <si>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</si>
  <si>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</si>
  <si>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</si>
  <si>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</si>
  <si>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</si>
  <si>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</si>
  <si>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</si>
  <si>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</si>
  <si>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</si>
  <si>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</si>
  <si>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</si>
  <si>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</si>
  <si>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</si>
  <si>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</si>
  <si>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</si>
  <si>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</si>
  <si>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</si>
  <si>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</si>
  <si>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</si>
  <si>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</si>
  <si>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</si>
  <si>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</si>
  <si>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</si>
  <si>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</si>
  <si>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</si>
  <si>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</si>
  <si>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</si>
  <si>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</si>
  <si>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</si>
  <si>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</si>
  <si>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</si>
  <si>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</si>
  <si>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</si>
  <si>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</si>
  <si>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</si>
  <si>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</si>
  <si>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</si>
  <si>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</si>
  <si>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</si>
  <si>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</si>
  <si>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</si>
  <si>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</si>
  <si>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</si>
  <si>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</si>
  <si>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</si>
  <si>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</si>
  <si>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</si>
  <si>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</si>
  <si>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</si>
  <si>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</si>
  <si>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</si>
  <si>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</si>
  <si>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</si>
  <si>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</si>
  <si>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</si>
  <si>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</si>
  <si>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</si>
  <si>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</si>
  <si>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</si>
  <si>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</si>
  <si>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</si>
  <si>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</si>
  <si>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</si>
  <si>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</si>
  <si>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</si>
  <si>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</si>
  <si>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</si>
  <si>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</si>
  <si>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</si>
  <si>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</si>
  <si>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</si>
  <si>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</si>
  <si>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</si>
  <si>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</si>
  <si>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</si>
  <si>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</si>
  <si>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</si>
  <si>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</si>
  <si>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</si>
  <si>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</si>
  <si>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</si>
  <si>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</si>
  <si>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</si>
  <si>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</si>
  <si>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</si>
  <si>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</si>
  <si>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</si>
  <si>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</si>
  <si>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</si>
  <si>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</si>
  <si>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</si>
  <si>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</si>
  <si>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</si>
  <si>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</si>
  <si>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</si>
  <si>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</si>
  <si>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</si>
  <si>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</si>
  <si>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</si>
  <si>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</si>
  <si>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</si>
  <si>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</si>
  <si>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</si>
  <si>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</si>
  <si>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</si>
  <si>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</si>
  <si>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</si>
  <si>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</si>
  <si>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</si>
  <si>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</si>
  <si>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</si>
  <si>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</si>
  <si>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</si>
  <si>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</si>
  <si>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</si>
  <si>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</si>
  <si>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</si>
  <si>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</si>
  <si>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</si>
  <si>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</si>
  <si>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</si>
  <si>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</si>
  <si>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</si>
  <si>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</si>
  <si>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</si>
  <si>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</si>
  <si>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</si>
  <si>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</si>
  <si>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</si>
  <si>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</si>
  <si>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</si>
  <si>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</si>
  <si>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</si>
  <si>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</si>
  <si>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</si>
  <si>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</si>
  <si>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</si>
  <si>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</si>
  <si>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</si>
  <si>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</si>
  <si>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</si>
  <si>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</si>
  <si>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</si>
  <si>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</si>
  <si>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</si>
  <si>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</si>
  <si>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</si>
  <si>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</si>
  <si>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</si>
  <si>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</si>
  <si>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</si>
  <si>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</si>
  <si>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</si>
  <si>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</si>
  <si>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</si>
  <si>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</si>
  <si>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</si>
  <si>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</si>
  <si>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</si>
  <si>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</si>
  <si>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</si>
  <si>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</si>
  <si>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</si>
  <si>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</si>
  <si>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</si>
  <si>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</si>
  <si>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</si>
  <si>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</si>
  <si>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</si>
  <si>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</si>
  <si>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</si>
  <si>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</si>
  <si>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</si>
  <si>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</si>
  <si>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</si>
  <si>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</si>
  <si>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</si>
  <si>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</si>
  <si>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</si>
  <si>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</si>
  <si>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</si>
  <si>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</si>
  <si>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</si>
  <si>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</si>
  <si>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</si>
  <si>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</si>
  <si>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</si>
  <si>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</si>
  <si>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</si>
  <si>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</si>
  <si>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</si>
  <si>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</si>
  <si>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</si>
  <si>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</si>
  <si>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</si>
  <si>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</si>
  <si>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</si>
  <si>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</si>
  <si>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</si>
  <si>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</si>
  <si>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</si>
  <si>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</si>
  <si>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</si>
  <si>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</si>
  <si>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</si>
  <si>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</si>
  <si>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</si>
  <si>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</si>
  <si>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</si>
  <si>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</si>
  <si>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</si>
  <si>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</si>
  <si>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</si>
  <si>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</si>
  <si>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</si>
  <si>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</si>
  <si>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</si>
  <si>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</si>
  <si>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</si>
  <si>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</si>
  <si>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</si>
  <si>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</si>
  <si>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</si>
  <si>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</si>
  <si>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</si>
  <si>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</si>
  <si>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</si>
  <si>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</si>
  <si>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</si>
  <si>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</si>
  <si>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</si>
  <si>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</si>
  <si>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</si>
  <si>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</si>
  <si>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</si>
  <si>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</si>
  <si>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</si>
  <si>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</si>
  <si>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</si>
  <si>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</si>
  <si>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</si>
  <si>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</si>
  <si>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</si>
  <si>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</si>
  <si>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</si>
  <si>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</si>
  <si>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</si>
  <si>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</si>
  <si>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</si>
  <si>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</si>
  <si>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</si>
  <si>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</si>
  <si>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</si>
  <si>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</si>
  <si>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</si>
  <si>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</si>
  <si>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</si>
  <si>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</si>
  <si>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</si>
  <si>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</si>
  <si>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</si>
  <si>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</si>
  <si>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</si>
  <si>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</si>
  <si>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</si>
  <si>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</si>
  <si>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</si>
  <si>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</si>
  <si>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</si>
  <si>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</si>
  <si>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</si>
  <si>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</si>
  <si>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</si>
  <si>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</si>
  <si>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</si>
  <si>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</si>
  <si>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</si>
  <si>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</si>
  <si>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</si>
  <si>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</si>
  <si>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</si>
  <si>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</si>
  <si>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</si>
  <si>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</si>
  <si>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</si>
  <si>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</si>
  <si>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</si>
  <si>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</si>
  <si>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</si>
  <si>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</si>
  <si>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</si>
  <si>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</si>
  <si>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</si>
  <si>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</si>
  <si>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</si>
  <si>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</si>
  <si>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</si>
  <si>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</si>
  <si>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</si>
  <si>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</si>
  <si>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</si>
  <si>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</si>
  <si>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</si>
  <si>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</si>
  <si>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</si>
  <si>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</si>
  <si>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</si>
  <si>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</si>
  <si>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</si>
  <si>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</si>
  <si>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</si>
  <si>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</si>
  <si>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</si>
  <si>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</si>
  <si>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</si>
  <si>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</si>
  <si>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</si>
  <si>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</si>
  <si>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</si>
  <si>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</si>
  <si>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</si>
  <si>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</si>
  <si>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</si>
  <si>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</si>
  <si>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</si>
  <si>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Column Name</t>
  </si>
  <si>
    <t>Missing Count</t>
  </si>
  <si>
    <t>Region Filled</t>
  </si>
  <si>
    <t>Catgory Filled</t>
  </si>
  <si>
    <t>Unit sold Filled</t>
  </si>
  <si>
    <t>Unit Price Filled</t>
  </si>
  <si>
    <t>Total Revenue</t>
  </si>
  <si>
    <t>Total price of Order ID = ‘ORD0123'</t>
  </si>
  <si>
    <t>count</t>
  </si>
  <si>
    <t>Profit</t>
  </si>
  <si>
    <t>Unknown</t>
  </si>
  <si>
    <t>Average of Profit</t>
  </si>
  <si>
    <t>Grand Total</t>
  </si>
  <si>
    <t>Sum of Total Revenue</t>
  </si>
  <si>
    <t>East Total</t>
  </si>
  <si>
    <t>North Total</t>
  </si>
  <si>
    <t>South Total</t>
  </si>
  <si>
    <t>West Total</t>
  </si>
  <si>
    <t xml:space="preserve">Catgory </t>
  </si>
  <si>
    <t>Total Sale</t>
  </si>
  <si>
    <t>Create a pivot table summarizing total sales by category and region</t>
  </si>
  <si>
    <t>Profit Margin</t>
  </si>
  <si>
    <t>Order Year/Month</t>
  </si>
  <si>
    <t>Sales per Unit</t>
  </si>
  <si>
    <t>KPI</t>
  </si>
  <si>
    <t>Value</t>
  </si>
  <si>
    <t>Total Sales</t>
  </si>
  <si>
    <t>Total Profit</t>
  </si>
  <si>
    <t>Avg Unit Price</t>
  </si>
  <si>
    <t>Avg Unit Cost</t>
  </si>
  <si>
    <t>Sum of Profit</t>
  </si>
  <si>
    <t>Row Labels</t>
  </si>
  <si>
    <t>Jan</t>
  </si>
  <si>
    <t>Feb</t>
  </si>
  <si>
    <t>Mar</t>
  </si>
  <si>
    <t>Apr</t>
  </si>
  <si>
    <t>May</t>
  </si>
  <si>
    <t>Jun</t>
  </si>
  <si>
    <t>Jul</t>
  </si>
  <si>
    <t>Aug</t>
  </si>
  <si>
    <t>Sep</t>
  </si>
  <si>
    <t>Oct</t>
  </si>
  <si>
    <t>Nov</t>
  </si>
  <si>
    <t>Dec</t>
  </si>
  <si>
    <t>Count of Order Priority</t>
  </si>
  <si>
    <t>Use Copilot to generate a summary chart of average profit by region.</t>
  </si>
  <si>
    <t>Summary Report --&gt;</t>
  </si>
  <si>
    <t>Category Breakdown:</t>
  </si>
  <si>
    <t>&gt;&gt; Beverages, Electronics, and Furniture are the top three categories by revenue.</t>
  </si>
  <si>
    <t>Regional Breakdown:</t>
  </si>
  <si>
    <t>&gt;&gt; The West region leads in both revenue and profit, followed by East and North.</t>
  </si>
  <si>
    <r>
      <rPr>
        <b/>
        <sz val="11"/>
        <color theme="1"/>
        <rFont val="Aptos Narrow"/>
        <family val="2"/>
        <scheme val="minor"/>
      </rPr>
      <t xml:space="preserve">Total Orders: </t>
    </r>
    <r>
      <rPr>
        <sz val="11"/>
        <color theme="1"/>
        <rFont val="Aptos Narrow"/>
        <family val="2"/>
        <scheme val="minor"/>
      </rPr>
      <t>350</t>
    </r>
  </si>
  <si>
    <r>
      <rPr>
        <b/>
        <sz val="11"/>
        <color theme="1"/>
        <rFont val="Aptos Narrow"/>
        <family val="2"/>
        <scheme val="minor"/>
      </rPr>
      <t xml:space="preserve">Total Revenue: </t>
    </r>
    <r>
      <rPr>
        <sz val="11"/>
        <color theme="1"/>
        <rFont val="Aptos Narrow"/>
        <family val="2"/>
        <scheme val="minor"/>
      </rPr>
      <t>22,459,473</t>
    </r>
  </si>
  <si>
    <r>
      <rPr>
        <b/>
        <sz val="11"/>
        <color theme="1"/>
        <rFont val="Aptos Narrow"/>
        <family val="2"/>
        <scheme val="minor"/>
      </rPr>
      <t xml:space="preserve">Total Profit: </t>
    </r>
    <r>
      <rPr>
        <sz val="11"/>
        <color theme="1"/>
        <rFont val="Aptos Narrow"/>
        <family val="2"/>
        <scheme val="minor"/>
      </rPr>
      <t>5,069,216</t>
    </r>
  </si>
  <si>
    <r>
      <t>A</t>
    </r>
    <r>
      <rPr>
        <b/>
        <sz val="11"/>
        <color theme="1"/>
        <rFont val="Aptos Narrow"/>
        <family val="2"/>
        <scheme val="minor"/>
      </rPr>
      <t>verage Profit Margin:</t>
    </r>
    <r>
      <rPr>
        <sz val="11"/>
        <color theme="1"/>
        <rFont val="Aptos Narrow"/>
        <family val="2"/>
        <scheme val="minor"/>
      </rPr>
      <t xml:space="preserve"> -0.61</t>
    </r>
  </si>
  <si>
    <r>
      <rPr>
        <b/>
        <sz val="11"/>
        <color theme="1"/>
        <rFont val="Aptos Narrow"/>
        <family val="2"/>
        <scheme val="minor"/>
      </rPr>
      <t>Top Category by Revenue:</t>
    </r>
    <r>
      <rPr>
        <sz val="11"/>
        <color theme="1"/>
        <rFont val="Aptos Narrow"/>
        <family val="2"/>
        <scheme val="minor"/>
      </rPr>
      <t xml:space="preserve"> Beverages</t>
    </r>
  </si>
  <si>
    <r>
      <rPr>
        <b/>
        <sz val="11"/>
        <color theme="1"/>
        <rFont val="Aptos Narrow"/>
        <family val="2"/>
        <scheme val="minor"/>
      </rPr>
      <t>Top Region by Revenue:</t>
    </r>
    <r>
      <rPr>
        <sz val="11"/>
        <color theme="1"/>
        <rFont val="Aptos Narrow"/>
        <family val="2"/>
        <scheme val="minor"/>
      </rPr>
      <t xml:space="preserve"> West</t>
    </r>
  </si>
  <si>
    <r>
      <rPr>
        <b/>
        <sz val="11"/>
        <color theme="1"/>
        <rFont val="Aptos Narrow"/>
        <family val="2"/>
        <scheme val="minor"/>
      </rPr>
      <t>Top Sales Channel by Revenue:</t>
    </r>
    <r>
      <rPr>
        <sz val="11"/>
        <color theme="1"/>
        <rFont val="Aptos Narrow"/>
        <family val="2"/>
        <scheme val="minor"/>
      </rPr>
      <t xml:space="preserve"> Online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</si>
</sst>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
  </numFmts>
  <fonts count="8" x14ac:knownFonts="1">
    <font>
      <sz val="11"/>
      <color theme="1"/>
      <name val="Aptos Narrow"/>
      <family val="2"/>
      <scheme val="minor"/>
    </font>
    <font>
      <b/>
      <sz val="11"/>
      <color theme="1"/>
      <name val="Calibri"/>
      <family val="2"/>
    </font>
    <font>
      <sz val="11"/>
      <color theme="1"/>
      <name val="Calibri"/>
      <family val="2"/>
    </font>
    <font>
      <b/>
      <sz val="11"/>
      <color rgb="FF000000"/>
      <name val="Calibri"/>
      <family val="2"/>
    </font>
    <font>
      <sz val="11"/>
      <color rgb="FF000000"/>
      <name val="Aptos Narrow"/>
      <family val="2"/>
      <scheme val="minor"/>
    </font>
    <font>
      <b/>
      <sz val="11"/>
      <color theme="0"/>
      <name val="Calibri"/>
      <family val="2"/>
    </font>
    <font>
      <b/>
      <sz val="11"/>
      <color theme="1"/>
      <name val="Aptos Narrow"/>
      <family val="2"/>
      <scheme val="minor"/>
    </font>
    <font>
      <b/>
      <sz val="16"/>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3" tint="0.749992370372631"/>
        <bgColor indexed="64"/>
      </patternFill>
    </fill>
    <fill>
      <patternFill patternType="solid">
        <fgColor theme="3" tint="0.89999084444715716"/>
        <bgColor indexed="64"/>
      </patternFill>
    </fill>
  </fills>
  <borders count="20">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CCCCCC"/>
      </left>
      <right style="medium">
        <color rgb="FFCCCCCC"/>
      </right>
      <top style="thin">
        <color theme="4" tint="0.39997558519241921"/>
      </top>
      <bottom style="medium">
        <color rgb="FFCCCCC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2" fillId="0" borderId="1" xfId="0" applyFont="1" applyBorder="1" applyAlignment="1">
      <alignment wrapText="1"/>
    </xf>
    <xf numFmtId="22" fontId="2" fillId="0" borderId="1" xfId="0" applyNumberFormat="1" applyFont="1" applyBorder="1" applyAlignment="1">
      <alignment horizontal="right" wrapText="1"/>
    </xf>
    <xf numFmtId="0" fontId="2" fillId="0" borderId="1" xfId="0" applyFont="1" applyBorder="1" applyAlignment="1">
      <alignment horizontal="right"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2" fillId="0" borderId="4" xfId="0" applyFont="1" applyBorder="1" applyAlignment="1">
      <alignment wrapText="1"/>
    </xf>
    <xf numFmtId="22" fontId="2" fillId="0" borderId="4" xfId="0" applyNumberFormat="1" applyFont="1" applyBorder="1" applyAlignment="1">
      <alignment horizontal="right" wrapText="1"/>
    </xf>
    <xf numFmtId="0" fontId="2" fillId="0" borderId="4" xfId="0" applyFont="1" applyBorder="1" applyAlignment="1">
      <alignment horizontal="right" wrapText="1"/>
    </xf>
    <xf numFmtId="0" fontId="2" fillId="0" borderId="5" xfId="0" applyFont="1" applyBorder="1" applyAlignment="1">
      <alignment horizontal="right" wrapText="1"/>
    </xf>
    <xf numFmtId="3" fontId="2" fillId="0" borderId="5" xfId="0" applyNumberFormat="1" applyFont="1" applyBorder="1" applyAlignment="1">
      <alignment horizontal="right" wrapText="1"/>
    </xf>
    <xf numFmtId="4" fontId="2" fillId="0" borderId="5" xfId="0" applyNumberFormat="1" applyFont="1" applyBorder="1" applyAlignment="1">
      <alignment horizontal="right" wrapText="1"/>
    </xf>
    <xf numFmtId="0" fontId="3" fillId="2" borderId="6" xfId="0" applyFont="1" applyFill="1" applyBorder="1" applyAlignment="1">
      <alignment horizontal="center" vertical="top" wrapText="1"/>
    </xf>
    <xf numFmtId="0" fontId="4" fillId="2" borderId="7" xfId="0" applyFont="1" applyFill="1" applyBorder="1" applyAlignment="1">
      <alignment wrapText="1"/>
    </xf>
    <xf numFmtId="2" fontId="0" fillId="3" borderId="0" xfId="0" applyNumberFormat="1" applyFill="1"/>
    <xf numFmtId="0" fontId="2" fillId="5" borderId="1" xfId="0" applyFont="1" applyFill="1" applyBorder="1" applyAlignment="1">
      <alignment wrapText="1"/>
    </xf>
    <xf numFmtId="0" fontId="2" fillId="5" borderId="11" xfId="0" applyFont="1" applyFill="1" applyBorder="1" applyAlignment="1">
      <alignment horizontal="right" wrapText="1"/>
    </xf>
    <xf numFmtId="0" fontId="2" fillId="5" borderId="1" xfId="0" applyFont="1" applyFill="1" applyBorder="1" applyAlignment="1">
      <alignment horizontal="right" wrapText="1"/>
    </xf>
    <xf numFmtId="22" fontId="2" fillId="5" borderId="1" xfId="0" applyNumberFormat="1" applyFont="1" applyFill="1" applyBorder="1" applyAlignment="1">
      <alignment horizontal="right" wrapText="1"/>
    </xf>
    <xf numFmtId="0" fontId="5" fillId="4" borderId="9"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0" fillId="0" borderId="0" xfId="0" applyAlignment="1">
      <alignment horizontal="center" vertical="center"/>
    </xf>
    <xf numFmtId="4" fontId="0" fillId="0" borderId="0" xfId="0" applyNumberFormat="1"/>
    <xf numFmtId="2" fontId="0" fillId="0" borderId="0" xfId="0" applyNumberFormat="1"/>
    <xf numFmtId="1" fontId="0" fillId="0" borderId="0" xfId="0" applyNumberFormat="1"/>
    <xf numFmtId="0" fontId="0" fillId="0" borderId="0" xfId="0" pivotButton="1"/>
    <xf numFmtId="0" fontId="5" fillId="6" borderId="10" xfId="0" applyFont="1" applyFill="1" applyBorder="1" applyAlignment="1">
      <alignment horizontal="center" vertical="center" wrapText="1"/>
    </xf>
    <xf numFmtId="164" fontId="0" fillId="0" borderId="0" xfId="0" applyNumberFormat="1"/>
    <xf numFmtId="165" fontId="0" fillId="0" borderId="0" xfId="0" applyNumberFormat="1"/>
    <xf numFmtId="0" fontId="0" fillId="7" borderId="0" xfId="0" applyFill="1"/>
    <xf numFmtId="0" fontId="0" fillId="0" borderId="0" xfId="0" applyAlignment="1">
      <alignment horizontal="left"/>
    </xf>
    <xf numFmtId="10" fontId="0" fillId="0" borderId="0" xfId="0" applyNumberFormat="1"/>
    <xf numFmtId="0" fontId="0" fillId="8" borderId="0" xfId="0" applyFill="1"/>
    <xf numFmtId="0" fontId="7" fillId="8" borderId="0" xfId="0" applyFont="1" applyFill="1"/>
    <xf numFmtId="0" fontId="6" fillId="8" borderId="0" xfId="0" applyFont="1" applyFill="1"/>
    <xf numFmtId="0" fontId="0" fillId="2" borderId="0" xfId="0" applyFill="1" applyAlignment="1">
      <alignment horizontal="left" vertical="center"/>
    </xf>
    <xf numFmtId="0" fontId="0" fillId="2" borderId="0" xfId="0" applyFill="1" applyAlignment="1">
      <alignment horizontal="left"/>
    </xf>
    <xf numFmtId="0" fontId="0" fillId="7" borderId="12" xfId="0" applyFill="1" applyBorder="1" applyAlignment="1">
      <alignment horizontal="center" vertical="center"/>
    </xf>
    <xf numFmtId="0" fontId="0" fillId="7" borderId="13" xfId="0" applyFill="1" applyBorder="1" applyAlignment="1">
      <alignment horizontal="center" vertical="center"/>
    </xf>
    <xf numFmtId="0" fontId="0" fillId="7" borderId="14" xfId="0" applyFill="1" applyBorder="1" applyAlignment="1">
      <alignment horizontal="center" vertical="center"/>
    </xf>
    <xf numFmtId="0" fontId="0" fillId="7" borderId="15" xfId="0" applyFill="1" applyBorder="1" applyAlignment="1">
      <alignment horizontal="center" vertical="center"/>
    </xf>
    <xf numFmtId="0" fontId="0" fillId="7" borderId="0" xfId="0" applyFill="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0" fillId="7" borderId="19" xfId="0" applyFill="1" applyBorder="1" applyAlignment="1">
      <alignment horizontal="center" vertical="center"/>
    </xf>
    <xf numFmtId="0" fontId="0" fillId="0" borderId="0" xfId="0" applyNumberFormat="1"/>
  </cellXfs>
  <cellStyles count="1">
    <cellStyle name="Normal" xfId="0" builtinId="0"/>
  </cellStyles>
  <dxfs count="92">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font>
        <color rgb="FF000000"/>
      </font>
      <fill>
        <patternFill patternType="solid">
          <fgColor indexed="64"/>
          <bgColor rgb="FFF8696B"/>
        </patternFill>
      </fill>
    </dxf>
    <dxf>
      <font>
        <color rgb="FF000000"/>
      </font>
      <fill>
        <patternFill patternType="solid">
          <fgColor indexed="64"/>
          <bgColor rgb="FFF8696B"/>
        </patternFill>
      </fill>
    </dxf>
    <dxf>
      <font>
        <color rgb="FF000000"/>
      </font>
      <fill>
        <patternFill patternType="solid">
          <fgColor indexed="64"/>
          <bgColor rgb="FFF8696B"/>
        </patternFill>
      </fill>
    </dxf>
    <dxf>
      <font>
        <color rgb="FF000000"/>
      </font>
      <fill>
        <patternFill patternType="solid">
          <fgColor indexed="64"/>
          <bgColor rgb="FFF8696B"/>
        </patternFill>
      </fill>
    </dxf>
    <dxf>
      <font>
        <color rgb="FF000000"/>
      </font>
      <fill>
        <patternFill patternType="solid">
          <fgColor indexed="64"/>
          <bgColor rgb="FFF8696B"/>
        </patternFill>
      </fill>
    </dxf>
    <dxf>
      <font>
        <color rgb="FF000000"/>
      </font>
      <fill>
        <patternFill patternType="solid">
          <fgColor indexed="64"/>
          <bgColor rgb="FFF8696B"/>
        </patternFill>
      </fill>
    </dxf>
    <dxf>
      <font>
        <color rgb="FF000000"/>
      </font>
      <fill>
        <patternFill patternType="solid">
          <fgColor indexed="64"/>
          <bgColor rgb="FFF8696B"/>
        </patternFill>
      </fill>
    </dxf>
    <dxf>
      <font>
        <color rgb="FF000000"/>
      </font>
      <fill>
        <patternFill patternType="solid">
          <fgColor indexed="64"/>
          <bgColor rgb="FFF8696B"/>
        </patternFill>
      </fill>
    </dxf>
    <dxf>
      <numFmt numFmtId="4" formatCode="#,##0.00"/>
    </dxf>
    <dxf>
      <numFmt numFmtId="165" formatCode="yyyy/mm"/>
    </dxf>
    <dxf>
      <numFmt numFmtId="164" formatCode="0.0%"/>
    </dxf>
    <dxf>
      <numFmt numFmtId="4" formatCode="#,##0.0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 formatCode="0.00"/>
    </dxf>
    <dxf>
      <numFmt numFmtId="1" formatCode="0"/>
    </dxf>
    <dxf>
      <font>
        <b val="0"/>
        <i val="0"/>
        <strike val="0"/>
        <condense val="0"/>
        <extend val="0"/>
        <outline val="0"/>
        <shadow val="0"/>
        <u val="none"/>
        <vertAlign val="baseline"/>
        <sz val="11"/>
        <color theme="1"/>
        <name val="Calibri"/>
        <family val="2"/>
        <scheme val="none"/>
      </font>
      <numFmt numFmtId="166"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dxf>
    <dxf>
      <numFmt numFmtId="14" formatCode="0.00%"/>
    </dxf>
    <dxf>
      <numFmt numFmtId="0" formatCode="General"/>
    </dxf>
    <dxf>
      <numFmt numFmtId="4" formatCode="#,##0.0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 formatCode="0.00"/>
    </dxf>
    <dxf>
      <numFmt numFmtId="1" formatCode="0"/>
    </dxf>
    <dxf>
      <font>
        <b val="0"/>
        <i val="0"/>
        <strike val="0"/>
        <condense val="0"/>
        <extend val="0"/>
        <outline val="0"/>
        <shadow val="0"/>
        <u val="none"/>
        <vertAlign val="baseline"/>
        <sz val="11"/>
        <color theme="1"/>
        <name val="Calibri"/>
        <family val="2"/>
        <scheme val="none"/>
      </font>
      <numFmt numFmtId="166"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center"/>
    </dxf>
    <dxf>
      <font>
        <b val="0"/>
        <i val="0"/>
        <strike val="0"/>
        <condense val="0"/>
        <extend val="0"/>
        <outline val="0"/>
        <shadow val="0"/>
        <u val="none"/>
        <vertAlign val="baseline"/>
        <sz val="11"/>
        <color theme="1"/>
        <name val="Calibri"/>
        <family val="2"/>
        <scheme val="none"/>
      </font>
      <numFmt numFmtId="4" formatCode="#,##0.0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4" formatCode="#,##0.00"/>
      <alignment horizontal="right" vertical="bottom" textRotation="0" wrapText="1" indent="0" justifyLastLine="0" shrinkToFit="0" readingOrder="0"/>
      <border diagonalUp="0" diagonalDown="0">
        <left style="medium">
          <color rgb="FFCCCCCC"/>
        </left>
        <right style="medium">
          <color rgb="FFCCCCCC"/>
        </right>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3" formatCode="#,##0"/>
      <alignment horizontal="right" vertical="bottom" textRotation="0" wrapText="1" indent="0" justifyLastLine="0" shrinkToFit="0" readingOrder="0"/>
      <border diagonalUp="0" diagonalDown="0">
        <left style="medium">
          <color rgb="FFCCCCCC"/>
        </left>
        <right style="medium">
          <color rgb="FFCCCCCC"/>
        </right>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dxf>
  </dxfs>
  <tableStyles count="0" defaultTableStyle="TableStyleMedium2" defaultPivotStyle="PivotStyleLight16"/>
  <colors>
    <mruColors>
      <color rgb="FF106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Assignment.xlsx]Question 6!PivotTable1</c:name>
    <c:fmtId val="1"/>
  </c:pivotSource>
  <c:chart>
    <c:title>
      <c:tx>
        <c:rich>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r>
              <a:rPr lang="en-US" b="1" i="1" u="sng"/>
              <a:t>Average</a:t>
            </a:r>
            <a:r>
              <a:rPr lang="en-US" b="1" i="1" u="sng" baseline="0"/>
              <a:t> Profit By Region</a:t>
            </a:r>
            <a:endParaRPr lang="en-US" b="1" i="1" u="sng"/>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6'!$B$4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6'!$A$5:$A$9</c:f>
              <c:strCache>
                <c:ptCount val="4"/>
                <c:pt idx="0">
                  <c:v>East</c:v>
                </c:pt>
                <c:pt idx="1">
                  <c:v>North</c:v>
                </c:pt>
                <c:pt idx="2">
                  <c:v>South</c:v>
                </c:pt>
                <c:pt idx="3">
                  <c:v>West</c:v>
                </c:pt>
              </c:strCache>
            </c:strRef>
          </c:cat>
          <c:val>
            <c:numRef>
              <c:f>'Question 6'!$B$5:$B$9</c:f>
              <c:numCache>
                <c:formatCode>#,##0.00</c:formatCode>
                <c:ptCount val="4"/>
                <c:pt idx="0">
                  <c:v>12493.090143826765</c:v>
                </c:pt>
                <c:pt idx="1">
                  <c:v>16728.373098416283</c:v>
                </c:pt>
                <c:pt idx="2">
                  <c:v>19174.390289411767</c:v>
                </c:pt>
                <c:pt idx="3">
                  <c:v>11221.250925915656</c:v>
                </c:pt>
              </c:numCache>
            </c:numRef>
          </c:val>
          <c:extLst>
            <c:ext xmlns:c16="http://schemas.microsoft.com/office/drawing/2014/chart" uri="{C3380CC4-5D6E-409C-BE32-E72D297353CC}">
              <c16:uniqueId val="{00000000-B5B5-4C18-AD2A-4DDAF1035C97}"/>
            </c:ext>
          </c:extLst>
        </c:ser>
        <c:dLbls>
          <c:dLblPos val="outEnd"/>
          <c:showLegendKey val="0"/>
          <c:showVal val="1"/>
          <c:showCatName val="0"/>
          <c:showSerName val="0"/>
          <c:showPercent val="0"/>
          <c:showBubbleSize val="0"/>
        </c:dLbls>
        <c:gapWidth val="219"/>
        <c:overlap val="-27"/>
        <c:axId val="1422280895"/>
        <c:axId val="1422281375"/>
      </c:barChart>
      <c:catAx>
        <c:axId val="142228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22281375"/>
        <c:crosses val="autoZero"/>
        <c:auto val="1"/>
        <c:lblAlgn val="ctr"/>
        <c:lblOffset val="100"/>
        <c:noMultiLvlLbl val="0"/>
      </c:catAx>
      <c:valAx>
        <c:axId val="1422281375"/>
        <c:scaling>
          <c:orientation val="minMax"/>
        </c:scaling>
        <c:delete val="1"/>
        <c:axPos val="l"/>
        <c:numFmt formatCode="#,##0.00" sourceLinked="1"/>
        <c:majorTickMark val="none"/>
        <c:minorTickMark val="none"/>
        <c:tickLblPos val="nextTo"/>
        <c:crossAx val="142228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Assignment.xlsx]Sheet9!PivotTable1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t>Total</a:t>
            </a:r>
            <a:r>
              <a:rPr lang="en-IN" b="1" i="1" u="sng" baseline="0"/>
              <a:t> Revenue and Profit By Month</a:t>
            </a:r>
            <a:endParaRPr lang="en-IN"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Sum of 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2237345.4051176468</c:v>
                </c:pt>
                <c:pt idx="1">
                  <c:v>1553530.2076176475</c:v>
                </c:pt>
                <c:pt idx="2">
                  <c:v>1663540.3297941175</c:v>
                </c:pt>
                <c:pt idx="3">
                  <c:v>1756311.6793235294</c:v>
                </c:pt>
                <c:pt idx="4">
                  <c:v>1971606.8135882355</c:v>
                </c:pt>
                <c:pt idx="5">
                  <c:v>2763185.7632941189</c:v>
                </c:pt>
                <c:pt idx="6">
                  <c:v>2278997.7284411765</c:v>
                </c:pt>
                <c:pt idx="7">
                  <c:v>1700615.8682058826</c:v>
                </c:pt>
                <c:pt idx="8">
                  <c:v>2055833.0806764709</c:v>
                </c:pt>
                <c:pt idx="9">
                  <c:v>1751836.308382353</c:v>
                </c:pt>
                <c:pt idx="10">
                  <c:v>1667652.5740882359</c:v>
                </c:pt>
                <c:pt idx="11">
                  <c:v>1059017.68</c:v>
                </c:pt>
              </c:numCache>
            </c:numRef>
          </c:val>
          <c:smooth val="0"/>
          <c:extLst>
            <c:ext xmlns:c16="http://schemas.microsoft.com/office/drawing/2014/chart" uri="{C3380CC4-5D6E-409C-BE32-E72D297353CC}">
              <c16:uniqueId val="{00000000-1CC4-4FFF-8099-32DCFBDC1184}"/>
            </c:ext>
          </c:extLst>
        </c:ser>
        <c:ser>
          <c:idx val="1"/>
          <c:order val="1"/>
          <c:tx>
            <c:strRef>
              <c:f>Sheet9!$C$3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Sheet9!$C$4:$C$16</c:f>
              <c:numCache>
                <c:formatCode>#,##0.00</c:formatCode>
                <c:ptCount val="12"/>
                <c:pt idx="0">
                  <c:v>566109.28511764714</c:v>
                </c:pt>
                <c:pt idx="1">
                  <c:v>400793.51741176465</c:v>
                </c:pt>
                <c:pt idx="2">
                  <c:v>367356.42979411769</c:v>
                </c:pt>
                <c:pt idx="3">
                  <c:v>212307.25932352929</c:v>
                </c:pt>
                <c:pt idx="4">
                  <c:v>288686.3367352942</c:v>
                </c:pt>
                <c:pt idx="5">
                  <c:v>1190984.0732941173</c:v>
                </c:pt>
                <c:pt idx="6">
                  <c:v>716540.73829411762</c:v>
                </c:pt>
                <c:pt idx="7">
                  <c:v>214599.06455882348</c:v>
                </c:pt>
                <c:pt idx="8">
                  <c:v>457059.73105882353</c:v>
                </c:pt>
                <c:pt idx="9">
                  <c:v>401396.20826470596</c:v>
                </c:pt>
                <c:pt idx="10">
                  <c:v>-114660.02923529418</c:v>
                </c:pt>
                <c:pt idx="11">
                  <c:v>368043.55999999994</c:v>
                </c:pt>
              </c:numCache>
            </c:numRef>
          </c:val>
          <c:smooth val="0"/>
          <c:extLst>
            <c:ext xmlns:c16="http://schemas.microsoft.com/office/drawing/2014/chart" uri="{C3380CC4-5D6E-409C-BE32-E72D297353CC}">
              <c16:uniqueId val="{00000002-1CC4-4FFF-8099-32DCFBDC1184}"/>
            </c:ext>
          </c:extLst>
        </c:ser>
        <c:dLbls>
          <c:dLblPos val="t"/>
          <c:showLegendKey val="0"/>
          <c:showVal val="1"/>
          <c:showCatName val="0"/>
          <c:showSerName val="0"/>
          <c:showPercent val="0"/>
          <c:showBubbleSize val="0"/>
        </c:dLbls>
        <c:marker val="1"/>
        <c:smooth val="0"/>
        <c:axId val="36936287"/>
        <c:axId val="1828426687"/>
      </c:lineChart>
      <c:catAx>
        <c:axId val="3693628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Month</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28426687"/>
        <c:crosses val="autoZero"/>
        <c:auto val="1"/>
        <c:lblAlgn val="ctr"/>
        <c:lblOffset val="100"/>
        <c:noMultiLvlLbl val="0"/>
      </c:catAx>
      <c:valAx>
        <c:axId val="1828426687"/>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Total</a:t>
                </a:r>
                <a:r>
                  <a:rPr lang="en-IN" sz="1100" b="1" baseline="0"/>
                  <a:t> Revenue &amp; Profit</a:t>
                </a:r>
                <a:endParaRPr lang="en-IN" sz="1100" b="1"/>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693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FA-4993-B77F-B2A8408EAD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FA-4993-B77F-B2A8408EAD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FA-4993-B77F-B2A8408EAD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FA-4993-B77F-B2A8408EAD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FA-4993-B77F-B2A8408EAD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Sheet1!$A$4:$A$9</c:f>
              <c:strCache>
                <c:ptCount val="5"/>
                <c:pt idx="0">
                  <c:v>Australia</c:v>
                </c:pt>
                <c:pt idx="1">
                  <c:v>Germany</c:v>
                </c:pt>
                <c:pt idx="2">
                  <c:v>India</c:v>
                </c:pt>
                <c:pt idx="3">
                  <c:v>UK</c:v>
                </c:pt>
                <c:pt idx="4">
                  <c:v>USA</c:v>
                </c:pt>
              </c:strCache>
            </c:strRef>
          </c:cat>
          <c:val>
            <c:numRef>
              <c:f>Sheet1!$B$4:$B$9</c:f>
              <c:numCache>
                <c:formatCode>0.00%</c:formatCode>
                <c:ptCount val="5"/>
                <c:pt idx="0">
                  <c:v>0.17938701743219049</c:v>
                </c:pt>
                <c:pt idx="1">
                  <c:v>0.16612362129556227</c:v>
                </c:pt>
                <c:pt idx="2">
                  <c:v>0.25041291264327736</c:v>
                </c:pt>
                <c:pt idx="3">
                  <c:v>0.19416550472016386</c:v>
                </c:pt>
                <c:pt idx="4">
                  <c:v>0.2099109439088061</c:v>
                </c:pt>
              </c:numCache>
            </c:numRef>
          </c:val>
          <c:extLst>
            <c:ext xmlns:c16="http://schemas.microsoft.com/office/drawing/2014/chart" uri="{C3380CC4-5D6E-409C-BE32-E72D297353CC}">
              <c16:uniqueId val="{00000000-7EB3-4DC9-80B3-63101AD58DE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c:f>
              <c:strCache>
                <c:ptCount val="1"/>
                <c:pt idx="0">
                  <c:v>Total</c:v>
                </c:pt>
              </c:strCache>
            </c:strRef>
          </c:tx>
          <c:spPr>
            <a:solidFill>
              <a:schemeClr val="accent1"/>
            </a:solidFill>
            <a:ln>
              <a:noFill/>
            </a:ln>
            <a:effectLst/>
          </c:spPr>
          <c:invertIfNegative val="0"/>
          <c:cat>
            <c:strRef>
              <c:f>Sheet7!$A$3:$A$8</c:f>
              <c:strCache>
                <c:ptCount val="5"/>
                <c:pt idx="0">
                  <c:v>Australia</c:v>
                </c:pt>
                <c:pt idx="1">
                  <c:v>Germany</c:v>
                </c:pt>
                <c:pt idx="2">
                  <c:v>India</c:v>
                </c:pt>
                <c:pt idx="3">
                  <c:v>UK</c:v>
                </c:pt>
                <c:pt idx="4">
                  <c:v>USA</c:v>
                </c:pt>
              </c:strCache>
            </c:strRef>
          </c:cat>
          <c:val>
            <c:numRef>
              <c:f>Sheet7!$B$3:$B$8</c:f>
              <c:numCache>
                <c:formatCode>#,##0.00</c:formatCode>
                <c:ptCount val="5"/>
                <c:pt idx="0">
                  <c:v>882370.11400000006</c:v>
                </c:pt>
                <c:pt idx="1">
                  <c:v>623555.76</c:v>
                </c:pt>
                <c:pt idx="2">
                  <c:v>1688270.2734411769</c:v>
                </c:pt>
                <c:pt idx="3">
                  <c:v>999283.92705882341</c:v>
                </c:pt>
                <c:pt idx="4">
                  <c:v>875736.10011764662</c:v>
                </c:pt>
              </c:numCache>
            </c:numRef>
          </c:val>
          <c:extLst>
            <c:ext xmlns:c16="http://schemas.microsoft.com/office/drawing/2014/chart" uri="{C3380CC4-5D6E-409C-BE32-E72D297353CC}">
              <c16:uniqueId val="{00000000-720B-4E45-BD74-1D4B50EFB822}"/>
            </c:ext>
          </c:extLst>
        </c:ser>
        <c:dLbls>
          <c:showLegendKey val="0"/>
          <c:showVal val="0"/>
          <c:showCatName val="0"/>
          <c:showSerName val="0"/>
          <c:showPercent val="0"/>
          <c:showBubbleSize val="0"/>
        </c:dLbls>
        <c:gapWidth val="33"/>
        <c:overlap val="-30"/>
        <c:axId val="234617055"/>
        <c:axId val="234617535"/>
      </c:barChart>
      <c:catAx>
        <c:axId val="234617055"/>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Country</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34617535"/>
        <c:crosses val="autoZero"/>
        <c:auto val="1"/>
        <c:lblAlgn val="ctr"/>
        <c:lblOffset val="100"/>
        <c:noMultiLvlLbl val="0"/>
      </c:catAx>
      <c:valAx>
        <c:axId val="234617535"/>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Sheet6!$A$3:$A$7</c:f>
              <c:strCache>
                <c:ptCount val="4"/>
                <c:pt idx="0">
                  <c:v>East</c:v>
                </c:pt>
                <c:pt idx="1">
                  <c:v>North</c:v>
                </c:pt>
                <c:pt idx="2">
                  <c:v>South</c:v>
                </c:pt>
                <c:pt idx="3">
                  <c:v>West</c:v>
                </c:pt>
              </c:strCache>
            </c:strRef>
          </c:cat>
          <c:val>
            <c:numRef>
              <c:f>Sheet6!$B$3:$B$7</c:f>
              <c:numCache>
                <c:formatCode>#,##0.00</c:formatCode>
                <c:ptCount val="4"/>
                <c:pt idx="0">
                  <c:v>1136871.2030882356</c:v>
                </c:pt>
                <c:pt idx="1">
                  <c:v>1304813.1016764701</c:v>
                </c:pt>
                <c:pt idx="2">
                  <c:v>1438079.2717058826</c:v>
                </c:pt>
                <c:pt idx="3">
                  <c:v>1189452.5981470596</c:v>
                </c:pt>
              </c:numCache>
            </c:numRef>
          </c:val>
          <c:extLst>
            <c:ext xmlns:c16="http://schemas.microsoft.com/office/drawing/2014/chart" uri="{C3380CC4-5D6E-409C-BE32-E72D297353CC}">
              <c16:uniqueId val="{00000000-9E7D-4B25-92A3-F472F93B6298}"/>
            </c:ext>
          </c:extLst>
        </c:ser>
        <c:dLbls>
          <c:dLblPos val="outEnd"/>
          <c:showLegendKey val="0"/>
          <c:showVal val="1"/>
          <c:showCatName val="0"/>
          <c:showSerName val="0"/>
          <c:showPercent val="0"/>
          <c:showBubbleSize val="0"/>
        </c:dLbls>
        <c:gapWidth val="33"/>
        <c:overlap val="-30"/>
        <c:axId val="102789199"/>
        <c:axId val="102795919"/>
      </c:barChart>
      <c:catAx>
        <c:axId val="102789199"/>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Region </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795919"/>
        <c:crosses val="autoZero"/>
        <c:auto val="1"/>
        <c:lblAlgn val="ctr"/>
        <c:lblOffset val="100"/>
        <c:noMultiLvlLbl val="0"/>
      </c:catAx>
      <c:valAx>
        <c:axId val="102795919"/>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0278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Assignment.xlsx]Sheet6!PivotTable3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Sheet6!$A$3:$A$7</c:f>
              <c:strCache>
                <c:ptCount val="4"/>
                <c:pt idx="0">
                  <c:v>East</c:v>
                </c:pt>
                <c:pt idx="1">
                  <c:v>North</c:v>
                </c:pt>
                <c:pt idx="2">
                  <c:v>South</c:v>
                </c:pt>
                <c:pt idx="3">
                  <c:v>West</c:v>
                </c:pt>
              </c:strCache>
            </c:strRef>
          </c:cat>
          <c:val>
            <c:numRef>
              <c:f>Sheet6!$B$3:$B$7</c:f>
              <c:numCache>
                <c:formatCode>#,##0.00</c:formatCode>
                <c:ptCount val="4"/>
                <c:pt idx="0">
                  <c:v>1136871.2030882356</c:v>
                </c:pt>
                <c:pt idx="1">
                  <c:v>1304813.1016764701</c:v>
                </c:pt>
                <c:pt idx="2">
                  <c:v>1438079.2717058826</c:v>
                </c:pt>
                <c:pt idx="3">
                  <c:v>1189452.5981470596</c:v>
                </c:pt>
              </c:numCache>
            </c:numRef>
          </c:val>
          <c:extLst>
            <c:ext xmlns:c16="http://schemas.microsoft.com/office/drawing/2014/chart" uri="{C3380CC4-5D6E-409C-BE32-E72D297353CC}">
              <c16:uniqueId val="{00000000-1E8C-401B-896E-18B6CC0138A4}"/>
            </c:ext>
          </c:extLst>
        </c:ser>
        <c:dLbls>
          <c:dLblPos val="outEnd"/>
          <c:showLegendKey val="0"/>
          <c:showVal val="1"/>
          <c:showCatName val="0"/>
          <c:showSerName val="0"/>
          <c:showPercent val="0"/>
          <c:showBubbleSize val="0"/>
        </c:dLbls>
        <c:gapWidth val="33"/>
        <c:overlap val="-30"/>
        <c:axId val="102789199"/>
        <c:axId val="102795919"/>
      </c:barChart>
      <c:catAx>
        <c:axId val="102789199"/>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Region </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795919"/>
        <c:crosses val="autoZero"/>
        <c:auto val="1"/>
        <c:lblAlgn val="ctr"/>
        <c:lblOffset val="100"/>
        <c:noMultiLvlLbl val="0"/>
      </c:catAx>
      <c:valAx>
        <c:axId val="102795919"/>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0278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Assignment.xlsx]Sheet7!PivotTable4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t>Total Profit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c:f>
              <c:strCache>
                <c:ptCount val="1"/>
                <c:pt idx="0">
                  <c:v>Total</c:v>
                </c:pt>
              </c:strCache>
            </c:strRef>
          </c:tx>
          <c:spPr>
            <a:solidFill>
              <a:schemeClr val="accent1"/>
            </a:solidFill>
            <a:ln>
              <a:noFill/>
            </a:ln>
            <a:effectLst/>
          </c:spPr>
          <c:invertIfNegative val="0"/>
          <c:cat>
            <c:strRef>
              <c:f>Sheet7!$A$3:$A$8</c:f>
              <c:strCache>
                <c:ptCount val="5"/>
                <c:pt idx="0">
                  <c:v>Australia</c:v>
                </c:pt>
                <c:pt idx="1">
                  <c:v>Germany</c:v>
                </c:pt>
                <c:pt idx="2">
                  <c:v>India</c:v>
                </c:pt>
                <c:pt idx="3">
                  <c:v>UK</c:v>
                </c:pt>
                <c:pt idx="4">
                  <c:v>USA</c:v>
                </c:pt>
              </c:strCache>
            </c:strRef>
          </c:cat>
          <c:val>
            <c:numRef>
              <c:f>Sheet7!$B$3:$B$8</c:f>
              <c:numCache>
                <c:formatCode>#,##0.00</c:formatCode>
                <c:ptCount val="5"/>
                <c:pt idx="0">
                  <c:v>882370.11400000006</c:v>
                </c:pt>
                <c:pt idx="1">
                  <c:v>623555.76</c:v>
                </c:pt>
                <c:pt idx="2">
                  <c:v>1688270.2734411769</c:v>
                </c:pt>
                <c:pt idx="3">
                  <c:v>999283.92705882341</c:v>
                </c:pt>
                <c:pt idx="4">
                  <c:v>875736.10011764662</c:v>
                </c:pt>
              </c:numCache>
            </c:numRef>
          </c:val>
          <c:extLst>
            <c:ext xmlns:c16="http://schemas.microsoft.com/office/drawing/2014/chart" uri="{C3380CC4-5D6E-409C-BE32-E72D297353CC}">
              <c16:uniqueId val="{00000000-E3A6-497B-8791-D4119B57B5F7}"/>
            </c:ext>
          </c:extLst>
        </c:ser>
        <c:dLbls>
          <c:showLegendKey val="0"/>
          <c:showVal val="0"/>
          <c:showCatName val="0"/>
          <c:showSerName val="0"/>
          <c:showPercent val="0"/>
          <c:showBubbleSize val="0"/>
        </c:dLbls>
        <c:gapWidth val="33"/>
        <c:overlap val="-30"/>
        <c:axId val="234617055"/>
        <c:axId val="234617535"/>
      </c:barChart>
      <c:catAx>
        <c:axId val="234617055"/>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Country</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34617535"/>
        <c:crosses val="autoZero"/>
        <c:auto val="1"/>
        <c:lblAlgn val="ctr"/>
        <c:lblOffset val="100"/>
        <c:noMultiLvlLbl val="0"/>
      </c:catAx>
      <c:valAx>
        <c:axId val="234617535"/>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61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Assignment.xlsx]Sheet9!PivotTable1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a:t>Total</a:t>
            </a:r>
            <a:r>
              <a:rPr lang="en-IN" b="1" i="1" u="sng" baseline="0"/>
              <a:t> Revenue and Profit By Month</a:t>
            </a:r>
            <a:endParaRPr lang="en-IN"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Sum of 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2237345.4051176468</c:v>
                </c:pt>
                <c:pt idx="1">
                  <c:v>1553530.2076176475</c:v>
                </c:pt>
                <c:pt idx="2">
                  <c:v>1663540.3297941175</c:v>
                </c:pt>
                <c:pt idx="3">
                  <c:v>1756311.6793235294</c:v>
                </c:pt>
                <c:pt idx="4">
                  <c:v>1971606.8135882355</c:v>
                </c:pt>
                <c:pt idx="5">
                  <c:v>2763185.7632941189</c:v>
                </c:pt>
                <c:pt idx="6">
                  <c:v>2278997.7284411765</c:v>
                </c:pt>
                <c:pt idx="7">
                  <c:v>1700615.8682058826</c:v>
                </c:pt>
                <c:pt idx="8">
                  <c:v>2055833.0806764709</c:v>
                </c:pt>
                <c:pt idx="9">
                  <c:v>1751836.308382353</c:v>
                </c:pt>
                <c:pt idx="10">
                  <c:v>1667652.5740882359</c:v>
                </c:pt>
                <c:pt idx="11">
                  <c:v>1059017.68</c:v>
                </c:pt>
              </c:numCache>
            </c:numRef>
          </c:val>
          <c:smooth val="0"/>
          <c:extLst>
            <c:ext xmlns:c16="http://schemas.microsoft.com/office/drawing/2014/chart" uri="{C3380CC4-5D6E-409C-BE32-E72D297353CC}">
              <c16:uniqueId val="{00000000-066E-436E-9D63-2AA4A1F6D9F1}"/>
            </c:ext>
          </c:extLst>
        </c:ser>
        <c:ser>
          <c:idx val="1"/>
          <c:order val="1"/>
          <c:tx>
            <c:strRef>
              <c:f>Sheet9!$C$3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Sheet9!$C$4:$C$16</c:f>
              <c:numCache>
                <c:formatCode>#,##0.00</c:formatCode>
                <c:ptCount val="12"/>
                <c:pt idx="0">
                  <c:v>566109.28511764714</c:v>
                </c:pt>
                <c:pt idx="1">
                  <c:v>400793.51741176465</c:v>
                </c:pt>
                <c:pt idx="2">
                  <c:v>367356.42979411769</c:v>
                </c:pt>
                <c:pt idx="3">
                  <c:v>212307.25932352929</c:v>
                </c:pt>
                <c:pt idx="4">
                  <c:v>288686.3367352942</c:v>
                </c:pt>
                <c:pt idx="5">
                  <c:v>1190984.0732941173</c:v>
                </c:pt>
                <c:pt idx="6">
                  <c:v>716540.73829411762</c:v>
                </c:pt>
                <c:pt idx="7">
                  <c:v>214599.06455882348</c:v>
                </c:pt>
                <c:pt idx="8">
                  <c:v>457059.73105882353</c:v>
                </c:pt>
                <c:pt idx="9">
                  <c:v>401396.20826470596</c:v>
                </c:pt>
                <c:pt idx="10">
                  <c:v>-114660.02923529418</c:v>
                </c:pt>
                <c:pt idx="11">
                  <c:v>368043.55999999994</c:v>
                </c:pt>
              </c:numCache>
            </c:numRef>
          </c:val>
          <c:smooth val="0"/>
          <c:extLst>
            <c:ext xmlns:c16="http://schemas.microsoft.com/office/drawing/2014/chart" uri="{C3380CC4-5D6E-409C-BE32-E72D297353CC}">
              <c16:uniqueId val="{00000001-066E-436E-9D63-2AA4A1F6D9F1}"/>
            </c:ext>
          </c:extLst>
        </c:ser>
        <c:dLbls>
          <c:dLblPos val="t"/>
          <c:showLegendKey val="0"/>
          <c:showVal val="1"/>
          <c:showCatName val="0"/>
          <c:showSerName val="0"/>
          <c:showPercent val="0"/>
          <c:showBubbleSize val="0"/>
        </c:dLbls>
        <c:marker val="1"/>
        <c:smooth val="0"/>
        <c:axId val="36936287"/>
        <c:axId val="1828426687"/>
      </c:lineChart>
      <c:catAx>
        <c:axId val="3693628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Month</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28426687"/>
        <c:crosses val="autoZero"/>
        <c:auto val="1"/>
        <c:lblAlgn val="ctr"/>
        <c:lblOffset val="100"/>
        <c:noMultiLvlLbl val="0"/>
      </c:catAx>
      <c:valAx>
        <c:axId val="1828426687"/>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Total</a:t>
                </a:r>
                <a:r>
                  <a:rPr lang="en-IN" sz="1100" b="1" baseline="0"/>
                  <a:t> Revenue &amp; Profit</a:t>
                </a:r>
                <a:endParaRPr lang="en-IN" sz="1100" b="1"/>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693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Revenue</a:t>
            </a:r>
            <a:r>
              <a:rPr lang="en-US" b="1" i="1" u="sng" baseline="0"/>
              <a:t> Percentage By Country</a:t>
            </a:r>
            <a:endParaRPr lang="en-US"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46-4735-A845-D6366FE78D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46-4735-A845-D6366FE78D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46-4735-A845-D6366FE78D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46-4735-A845-D6366FE78D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46-4735-A845-D6366FE78DF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Sheet1!$A$4:$A$9</c:f>
              <c:strCache>
                <c:ptCount val="5"/>
                <c:pt idx="0">
                  <c:v>Australia</c:v>
                </c:pt>
                <c:pt idx="1">
                  <c:v>Germany</c:v>
                </c:pt>
                <c:pt idx="2">
                  <c:v>India</c:v>
                </c:pt>
                <c:pt idx="3">
                  <c:v>UK</c:v>
                </c:pt>
                <c:pt idx="4">
                  <c:v>USA</c:v>
                </c:pt>
              </c:strCache>
            </c:strRef>
          </c:cat>
          <c:val>
            <c:numRef>
              <c:f>Sheet1!$B$4:$B$9</c:f>
              <c:numCache>
                <c:formatCode>0.00%</c:formatCode>
                <c:ptCount val="5"/>
                <c:pt idx="0">
                  <c:v>0.17938701743219049</c:v>
                </c:pt>
                <c:pt idx="1">
                  <c:v>0.16612362129556227</c:v>
                </c:pt>
                <c:pt idx="2">
                  <c:v>0.25041291264327736</c:v>
                </c:pt>
                <c:pt idx="3">
                  <c:v>0.19416550472016386</c:v>
                </c:pt>
                <c:pt idx="4">
                  <c:v>0.2099109439088061</c:v>
                </c:pt>
              </c:numCache>
            </c:numRef>
          </c:val>
          <c:extLst>
            <c:ext xmlns:c16="http://schemas.microsoft.com/office/drawing/2014/chart" uri="{C3380CC4-5D6E-409C-BE32-E72D297353CC}">
              <c16:uniqueId val="{0000000A-0B46-4735-A845-D6366FE78DF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411480</xdr:colOff>
      <xdr:row>4</xdr:row>
      <xdr:rowOff>140970</xdr:rowOff>
    </xdr:from>
    <xdr:to>
      <xdr:col>11</xdr:col>
      <xdr:colOff>106680</xdr:colOff>
      <xdr:row>21</xdr:row>
      <xdr:rowOff>140970</xdr:rowOff>
    </xdr:to>
    <xdr:graphicFrame macro="">
      <xdr:nvGraphicFramePr>
        <xdr:cNvPr id="3" name="Chart 2">
          <a:extLst>
            <a:ext uri="{FF2B5EF4-FFF2-40B4-BE49-F238E27FC236}">
              <a16:creationId xmlns:a16="http://schemas.microsoft.com/office/drawing/2014/main" id="{F56E8826-0B54-6B91-7D24-551880092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2</xdr:row>
      <xdr:rowOff>26670</xdr:rowOff>
    </xdr:from>
    <xdr:to>
      <xdr:col>17</xdr:col>
      <xdr:colOff>525780</xdr:colOff>
      <xdr:row>21</xdr:row>
      <xdr:rowOff>0</xdr:rowOff>
    </xdr:to>
    <xdr:graphicFrame macro="">
      <xdr:nvGraphicFramePr>
        <xdr:cNvPr id="2" name="Chart 1">
          <a:extLst>
            <a:ext uri="{FF2B5EF4-FFF2-40B4-BE49-F238E27FC236}">
              <a16:creationId xmlns:a16="http://schemas.microsoft.com/office/drawing/2014/main" id="{77F50E42-E027-D5B7-2E0E-82016A925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388620</xdr:colOff>
      <xdr:row>6</xdr:row>
      <xdr:rowOff>41910</xdr:rowOff>
    </xdr:from>
    <xdr:to>
      <xdr:col>11</xdr:col>
      <xdr:colOff>83820</xdr:colOff>
      <xdr:row>22</xdr:row>
      <xdr:rowOff>68580</xdr:rowOff>
    </xdr:to>
    <xdr:graphicFrame macro="">
      <xdr:nvGraphicFramePr>
        <xdr:cNvPr id="2" name="Chart 1">
          <a:extLst>
            <a:ext uri="{FF2B5EF4-FFF2-40B4-BE49-F238E27FC236}">
              <a16:creationId xmlns:a16="http://schemas.microsoft.com/office/drawing/2014/main" id="{4755D20B-EDCD-FA10-063B-F3F5FBD81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18</xdr:row>
      <xdr:rowOff>0</xdr:rowOff>
    </xdr:to>
    <xdr:graphicFrame macro="">
      <xdr:nvGraphicFramePr>
        <xdr:cNvPr id="2" name="Chart 1" descr="Chart type: Clustered Column. &#10;&#10;Description automatically generated">
          <a:extLst>
            <a:ext uri="{FF2B5EF4-FFF2-40B4-BE49-F238E27FC236}">
              <a16:creationId xmlns:a16="http://schemas.microsoft.com/office/drawing/2014/main" id="{785CA7B6-919D-C7E0-CA0E-2E0F87415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18</xdr:row>
      <xdr:rowOff>0</xdr:rowOff>
    </xdr:to>
    <xdr:graphicFrame macro="">
      <xdr:nvGraphicFramePr>
        <xdr:cNvPr id="2" name="Chart 1" descr="Chart type: Clustered Column. &#10;&#10;Description automatically generated">
          <a:extLst>
            <a:ext uri="{FF2B5EF4-FFF2-40B4-BE49-F238E27FC236}">
              <a16:creationId xmlns:a16="http://schemas.microsoft.com/office/drawing/2014/main" id="{0D610966-B5B3-8D28-21C7-26C38E07A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423333</xdr:colOff>
      <xdr:row>5</xdr:row>
      <xdr:rowOff>95250</xdr:rowOff>
    </xdr:from>
    <xdr:to>
      <xdr:col>23</xdr:col>
      <xdr:colOff>296333</xdr:colOff>
      <xdr:row>21</xdr:row>
      <xdr:rowOff>42333</xdr:rowOff>
    </xdr:to>
    <xdr:sp macro="" textlink="">
      <xdr:nvSpPr>
        <xdr:cNvPr id="13" name="Rectangle: Rounded Corners 12">
          <a:extLst>
            <a:ext uri="{FF2B5EF4-FFF2-40B4-BE49-F238E27FC236}">
              <a16:creationId xmlns:a16="http://schemas.microsoft.com/office/drawing/2014/main" id="{700B3B86-54AF-BB24-72DE-59ECD60920FD}"/>
            </a:ext>
          </a:extLst>
        </xdr:cNvPr>
        <xdr:cNvSpPr/>
      </xdr:nvSpPr>
      <xdr:spPr>
        <a:xfrm>
          <a:off x="4106333" y="994833"/>
          <a:ext cx="10308167" cy="2825750"/>
        </a:xfrm>
        <a:prstGeom prst="roundRect">
          <a:avLst/>
        </a:prstGeom>
        <a:solidFill>
          <a:srgbClr val="106270">
            <a:alpha val="2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317502</xdr:colOff>
      <xdr:row>10</xdr:row>
      <xdr:rowOff>84667</xdr:rowOff>
    </xdr:from>
    <xdr:to>
      <xdr:col>10</xdr:col>
      <xdr:colOff>306918</xdr:colOff>
      <xdr:row>15</xdr:row>
      <xdr:rowOff>148167</xdr:rowOff>
    </xdr:to>
    <xdr:sp macro="" textlink="Sheet3!B2">
      <xdr:nvSpPr>
        <xdr:cNvPr id="4" name="Rectangle: Rounded Corners 3">
          <a:extLst>
            <a:ext uri="{FF2B5EF4-FFF2-40B4-BE49-F238E27FC236}">
              <a16:creationId xmlns:a16="http://schemas.microsoft.com/office/drawing/2014/main" id="{DED2779D-9176-A8BB-FC65-AEC4093EF728}"/>
            </a:ext>
          </a:extLst>
        </xdr:cNvPr>
        <xdr:cNvSpPr/>
      </xdr:nvSpPr>
      <xdr:spPr>
        <a:xfrm>
          <a:off x="4614335" y="1883834"/>
          <a:ext cx="1830916" cy="96308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0CF03C-8546-43CB-B8AE-D7702D5D41AD}" type="TxLink">
            <a:rPr lang="en-US" sz="2000" b="1" i="0" u="none" strike="noStrike">
              <a:solidFill>
                <a:srgbClr val="000000"/>
              </a:solidFill>
              <a:latin typeface="Aptos Narrow"/>
            </a:rPr>
            <a:pPr algn="ctr"/>
            <a:t>22459473.44</a:t>
          </a:fld>
          <a:endParaRPr lang="en-US" sz="2000" b="1"/>
        </a:p>
      </xdr:txBody>
    </xdr:sp>
    <xdr:clientData/>
  </xdr:twoCellAnchor>
  <xdr:twoCellAnchor>
    <xdr:from>
      <xdr:col>0</xdr:col>
      <xdr:colOff>4233</xdr:colOff>
      <xdr:row>0</xdr:row>
      <xdr:rowOff>6351</xdr:rowOff>
    </xdr:from>
    <xdr:to>
      <xdr:col>24</xdr:col>
      <xdr:colOff>0</xdr:colOff>
      <xdr:row>3</xdr:row>
      <xdr:rowOff>177800</xdr:rowOff>
    </xdr:to>
    <xdr:sp macro="" textlink="">
      <xdr:nvSpPr>
        <xdr:cNvPr id="2" name="Rectangle 1">
          <a:extLst>
            <a:ext uri="{FF2B5EF4-FFF2-40B4-BE49-F238E27FC236}">
              <a16:creationId xmlns:a16="http://schemas.microsoft.com/office/drawing/2014/main" id="{A0972B33-A204-29EA-682E-70886176A9E4}"/>
            </a:ext>
          </a:extLst>
        </xdr:cNvPr>
        <xdr:cNvSpPr/>
      </xdr:nvSpPr>
      <xdr:spPr>
        <a:xfrm>
          <a:off x="4233" y="6351"/>
          <a:ext cx="14626167" cy="730249"/>
        </a:xfrm>
        <a:prstGeom prst="rect">
          <a:avLst/>
        </a:prstGeom>
        <a:solidFill>
          <a:schemeClr val="bg2">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b="1"/>
            <a:t>Dashboard</a:t>
          </a:r>
        </a:p>
      </xdr:txBody>
    </xdr:sp>
    <xdr:clientData/>
  </xdr:twoCellAnchor>
  <xdr:oneCellAnchor>
    <xdr:from>
      <xdr:col>9</xdr:col>
      <xdr:colOff>592667</xdr:colOff>
      <xdr:row>8</xdr:row>
      <xdr:rowOff>158750</xdr:rowOff>
    </xdr:from>
    <xdr:ext cx="184731" cy="264560"/>
    <xdr:sp macro="" textlink="">
      <xdr:nvSpPr>
        <xdr:cNvPr id="3" name="TextBox 2">
          <a:extLst>
            <a:ext uri="{FF2B5EF4-FFF2-40B4-BE49-F238E27FC236}">
              <a16:creationId xmlns:a16="http://schemas.microsoft.com/office/drawing/2014/main" id="{282F170C-B399-725E-10CF-735C5A6F20EE}"/>
            </a:ext>
          </a:extLst>
        </xdr:cNvPr>
        <xdr:cNvSpPr txBox="1"/>
      </xdr:nvSpPr>
      <xdr:spPr>
        <a:xfrm>
          <a:off x="6117167" y="1598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11</xdr:col>
      <xdr:colOff>253999</xdr:colOff>
      <xdr:row>10</xdr:row>
      <xdr:rowOff>52915</xdr:rowOff>
    </xdr:from>
    <xdr:to>
      <xdr:col>14</xdr:col>
      <xdr:colOff>243415</xdr:colOff>
      <xdr:row>15</xdr:row>
      <xdr:rowOff>116415</xdr:rowOff>
    </xdr:to>
    <xdr:sp macro="" textlink="Sheet3!B3">
      <xdr:nvSpPr>
        <xdr:cNvPr id="8" name="Rectangle: Rounded Corners 7">
          <a:extLst>
            <a:ext uri="{FF2B5EF4-FFF2-40B4-BE49-F238E27FC236}">
              <a16:creationId xmlns:a16="http://schemas.microsoft.com/office/drawing/2014/main" id="{7B88DCDC-D971-4874-9DB8-BABCA57614C3}"/>
            </a:ext>
          </a:extLst>
        </xdr:cNvPr>
        <xdr:cNvSpPr/>
      </xdr:nvSpPr>
      <xdr:spPr>
        <a:xfrm>
          <a:off x="7006166" y="1852082"/>
          <a:ext cx="1830916" cy="9630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C92D92-D8F0-470D-A5E0-D2E9AFCA3BF2}" type="TxLink">
            <a:rPr lang="en-US" sz="2000" b="1" i="0" u="none" strike="noStrike">
              <a:solidFill>
                <a:srgbClr val="000000"/>
              </a:solidFill>
              <a:latin typeface="Aptos Narrow"/>
            </a:rPr>
            <a:pPr algn="ctr"/>
            <a:t>5069216.175</a:t>
          </a:fld>
          <a:endParaRPr lang="en-IN" sz="2000" b="1"/>
        </a:p>
      </xdr:txBody>
    </xdr:sp>
    <xdr:clientData/>
  </xdr:twoCellAnchor>
  <xdr:twoCellAnchor>
    <xdr:from>
      <xdr:col>15</xdr:col>
      <xdr:colOff>169333</xdr:colOff>
      <xdr:row>10</xdr:row>
      <xdr:rowOff>63500</xdr:rowOff>
    </xdr:from>
    <xdr:to>
      <xdr:col>18</xdr:col>
      <xdr:colOff>158749</xdr:colOff>
      <xdr:row>15</xdr:row>
      <xdr:rowOff>127000</xdr:rowOff>
    </xdr:to>
    <xdr:sp macro="" textlink="Sheet3!B4">
      <xdr:nvSpPr>
        <xdr:cNvPr id="10" name="Rectangle: Rounded Corners 9">
          <a:extLst>
            <a:ext uri="{FF2B5EF4-FFF2-40B4-BE49-F238E27FC236}">
              <a16:creationId xmlns:a16="http://schemas.microsoft.com/office/drawing/2014/main" id="{FAB09FA1-3688-4511-A9DD-8B8333A5B139}"/>
            </a:ext>
          </a:extLst>
        </xdr:cNvPr>
        <xdr:cNvSpPr/>
      </xdr:nvSpPr>
      <xdr:spPr>
        <a:xfrm>
          <a:off x="9376833" y="1862667"/>
          <a:ext cx="1830916" cy="9630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0BE2AF-25A7-4B4A-9D55-84427F215347}" type="TxLink">
            <a:rPr lang="en-US" sz="2000" b="1" i="0" u="none" strike="noStrike">
              <a:solidFill>
                <a:srgbClr val="000000"/>
              </a:solidFill>
              <a:latin typeface="Aptos Narrow"/>
            </a:rPr>
            <a:pPr algn="ctr"/>
            <a:t>249.6452059</a:t>
          </a:fld>
          <a:endParaRPr lang="en-IN" sz="2000" b="1"/>
        </a:p>
      </xdr:txBody>
    </xdr:sp>
    <xdr:clientData/>
  </xdr:twoCellAnchor>
  <xdr:twoCellAnchor>
    <xdr:from>
      <xdr:col>7</xdr:col>
      <xdr:colOff>338667</xdr:colOff>
      <xdr:row>7</xdr:row>
      <xdr:rowOff>52917</xdr:rowOff>
    </xdr:from>
    <xdr:to>
      <xdr:col>10</xdr:col>
      <xdr:colOff>105834</xdr:colOff>
      <xdr:row>9</xdr:row>
      <xdr:rowOff>74084</xdr:rowOff>
    </xdr:to>
    <xdr:sp macro="" textlink="">
      <xdr:nvSpPr>
        <xdr:cNvPr id="15" name="TextBox 14">
          <a:extLst>
            <a:ext uri="{FF2B5EF4-FFF2-40B4-BE49-F238E27FC236}">
              <a16:creationId xmlns:a16="http://schemas.microsoft.com/office/drawing/2014/main" id="{ECABCB5B-4BDE-2BA0-1470-64202CE4E018}"/>
            </a:ext>
          </a:extLst>
        </xdr:cNvPr>
        <xdr:cNvSpPr txBox="1"/>
      </xdr:nvSpPr>
      <xdr:spPr>
        <a:xfrm>
          <a:off x="4635500" y="1312334"/>
          <a:ext cx="160866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FF00"/>
              </a:solidFill>
            </a:rPr>
            <a:t>Total Sale</a:t>
          </a:r>
        </a:p>
      </xdr:txBody>
    </xdr:sp>
    <xdr:clientData/>
  </xdr:twoCellAnchor>
  <xdr:twoCellAnchor>
    <xdr:from>
      <xdr:col>11</xdr:col>
      <xdr:colOff>296333</xdr:colOff>
      <xdr:row>7</xdr:row>
      <xdr:rowOff>52916</xdr:rowOff>
    </xdr:from>
    <xdr:to>
      <xdr:col>14</xdr:col>
      <xdr:colOff>1</xdr:colOff>
      <xdr:row>9</xdr:row>
      <xdr:rowOff>137583</xdr:rowOff>
    </xdr:to>
    <xdr:sp macro="" textlink="">
      <xdr:nvSpPr>
        <xdr:cNvPr id="16" name="TextBox 15">
          <a:extLst>
            <a:ext uri="{FF2B5EF4-FFF2-40B4-BE49-F238E27FC236}">
              <a16:creationId xmlns:a16="http://schemas.microsoft.com/office/drawing/2014/main" id="{66052728-F5BE-6D83-A6C6-4993D8272E79}"/>
            </a:ext>
          </a:extLst>
        </xdr:cNvPr>
        <xdr:cNvSpPr txBox="1"/>
      </xdr:nvSpPr>
      <xdr:spPr>
        <a:xfrm>
          <a:off x="7048500" y="1312333"/>
          <a:ext cx="1545168"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FF00"/>
              </a:solidFill>
            </a:rPr>
            <a:t>Total profit</a:t>
          </a:r>
        </a:p>
      </xdr:txBody>
    </xdr:sp>
    <xdr:clientData/>
  </xdr:twoCellAnchor>
  <xdr:twoCellAnchor>
    <xdr:from>
      <xdr:col>15</xdr:col>
      <xdr:colOff>169333</xdr:colOff>
      <xdr:row>7</xdr:row>
      <xdr:rowOff>52916</xdr:rowOff>
    </xdr:from>
    <xdr:to>
      <xdr:col>18</xdr:col>
      <xdr:colOff>179917</xdr:colOff>
      <xdr:row>9</xdr:row>
      <xdr:rowOff>137583</xdr:rowOff>
    </xdr:to>
    <xdr:sp macro="" textlink="">
      <xdr:nvSpPr>
        <xdr:cNvPr id="17" name="TextBox 16">
          <a:extLst>
            <a:ext uri="{FF2B5EF4-FFF2-40B4-BE49-F238E27FC236}">
              <a16:creationId xmlns:a16="http://schemas.microsoft.com/office/drawing/2014/main" id="{5E9B196C-5A3D-C134-36CB-118F4D3CFBF2}"/>
            </a:ext>
          </a:extLst>
        </xdr:cNvPr>
        <xdr:cNvSpPr txBox="1"/>
      </xdr:nvSpPr>
      <xdr:spPr>
        <a:xfrm>
          <a:off x="9376833" y="1312333"/>
          <a:ext cx="1852084"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FF00"/>
              </a:solidFill>
            </a:rPr>
            <a:t>Avg. Unit Price</a:t>
          </a:r>
        </a:p>
      </xdr:txBody>
    </xdr:sp>
    <xdr:clientData/>
  </xdr:twoCellAnchor>
  <xdr:twoCellAnchor>
    <xdr:from>
      <xdr:col>19</xdr:col>
      <xdr:colOff>42333</xdr:colOff>
      <xdr:row>10</xdr:row>
      <xdr:rowOff>31749</xdr:rowOff>
    </xdr:from>
    <xdr:to>
      <xdr:col>22</xdr:col>
      <xdr:colOff>31749</xdr:colOff>
      <xdr:row>15</xdr:row>
      <xdr:rowOff>95249</xdr:rowOff>
    </xdr:to>
    <xdr:sp macro="" textlink="Sheet3!B5">
      <xdr:nvSpPr>
        <xdr:cNvPr id="19" name="Rectangle: Rounded Corners 18">
          <a:extLst>
            <a:ext uri="{FF2B5EF4-FFF2-40B4-BE49-F238E27FC236}">
              <a16:creationId xmlns:a16="http://schemas.microsoft.com/office/drawing/2014/main" id="{D89BD026-C27C-4F33-A34A-0A38514FA6A5}"/>
            </a:ext>
          </a:extLst>
        </xdr:cNvPr>
        <xdr:cNvSpPr/>
      </xdr:nvSpPr>
      <xdr:spPr>
        <a:xfrm>
          <a:off x="11705166" y="1830916"/>
          <a:ext cx="1830916" cy="9630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92F16E-1209-4319-840A-40275366A601}" type="TxLink">
            <a:rPr lang="en-US" sz="2000" b="1" i="0" u="none" strike="noStrike">
              <a:solidFill>
                <a:srgbClr val="000000"/>
              </a:solidFill>
              <a:latin typeface="Aptos Narrow"/>
            </a:rPr>
            <a:pPr algn="ctr"/>
            <a:t>196.129</a:t>
          </a:fld>
          <a:endParaRPr lang="en-IN" sz="2000" b="1"/>
        </a:p>
      </xdr:txBody>
    </xdr:sp>
    <xdr:clientData/>
  </xdr:twoCellAnchor>
  <xdr:twoCellAnchor>
    <xdr:from>
      <xdr:col>19</xdr:col>
      <xdr:colOff>63500</xdr:colOff>
      <xdr:row>7</xdr:row>
      <xdr:rowOff>31751</xdr:rowOff>
    </xdr:from>
    <xdr:to>
      <xdr:col>22</xdr:col>
      <xdr:colOff>116417</xdr:colOff>
      <xdr:row>9</xdr:row>
      <xdr:rowOff>116418</xdr:rowOff>
    </xdr:to>
    <xdr:sp macro="" textlink="">
      <xdr:nvSpPr>
        <xdr:cNvPr id="20" name="TextBox 19">
          <a:extLst>
            <a:ext uri="{FF2B5EF4-FFF2-40B4-BE49-F238E27FC236}">
              <a16:creationId xmlns:a16="http://schemas.microsoft.com/office/drawing/2014/main" id="{D970C11D-4ACF-20AE-A1F3-FFC9EAD0BF7B}"/>
            </a:ext>
          </a:extLst>
        </xdr:cNvPr>
        <xdr:cNvSpPr txBox="1"/>
      </xdr:nvSpPr>
      <xdr:spPr>
        <a:xfrm>
          <a:off x="11726333" y="1291168"/>
          <a:ext cx="189441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FFFF00"/>
              </a:solidFill>
            </a:rPr>
            <a:t>Avg. Unit</a:t>
          </a:r>
          <a:r>
            <a:rPr lang="en-IN" sz="2000" b="1" baseline="0">
              <a:solidFill>
                <a:srgbClr val="FFFF00"/>
              </a:solidFill>
            </a:rPr>
            <a:t> Cost</a:t>
          </a:r>
          <a:endParaRPr lang="en-IN" sz="2000" b="1">
            <a:solidFill>
              <a:srgbClr val="FFFF00"/>
            </a:solidFill>
          </a:endParaRPr>
        </a:p>
      </xdr:txBody>
    </xdr:sp>
    <xdr:clientData/>
  </xdr:twoCellAnchor>
  <xdr:twoCellAnchor>
    <xdr:from>
      <xdr:col>0</xdr:col>
      <xdr:colOff>264582</xdr:colOff>
      <xdr:row>22</xdr:row>
      <xdr:rowOff>169332</xdr:rowOff>
    </xdr:from>
    <xdr:to>
      <xdr:col>7</xdr:col>
      <xdr:colOff>110067</xdr:colOff>
      <xdr:row>38</xdr:row>
      <xdr:rowOff>158749</xdr:rowOff>
    </xdr:to>
    <xdr:graphicFrame macro="">
      <xdr:nvGraphicFramePr>
        <xdr:cNvPr id="6" name="Chart 5" descr="Chart type: Clustered Column. &#10;&#10;Description automatically generated">
          <a:extLst>
            <a:ext uri="{FF2B5EF4-FFF2-40B4-BE49-F238E27FC236}">
              <a16:creationId xmlns:a16="http://schemas.microsoft.com/office/drawing/2014/main" id="{0803C11F-919F-4582-96C6-05E492020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321733</xdr:colOff>
      <xdr:row>22</xdr:row>
      <xdr:rowOff>179916</xdr:rowOff>
    </xdr:from>
    <xdr:to>
      <xdr:col>15</xdr:col>
      <xdr:colOff>321733</xdr:colOff>
      <xdr:row>38</xdr:row>
      <xdr:rowOff>131234</xdr:rowOff>
    </xdr:to>
    <xdr:graphicFrame macro="">
      <xdr:nvGraphicFramePr>
        <xdr:cNvPr id="9" name="Chart 8" descr="Chart type: Clustered Column. &#10;&#10;Description automatically generated">
          <a:extLst>
            <a:ext uri="{FF2B5EF4-FFF2-40B4-BE49-F238E27FC236}">
              <a16:creationId xmlns:a16="http://schemas.microsoft.com/office/drawing/2014/main" id="{5C7DA7DB-90A8-4CA6-95AA-AB051E6D6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243415</xdr:colOff>
      <xdr:row>40</xdr:row>
      <xdr:rowOff>52916</xdr:rowOff>
    </xdr:from>
    <xdr:to>
      <xdr:col>23</xdr:col>
      <xdr:colOff>237066</xdr:colOff>
      <xdr:row>59</xdr:row>
      <xdr:rowOff>82550</xdr:rowOff>
    </xdr:to>
    <xdr:graphicFrame macro="">
      <xdr:nvGraphicFramePr>
        <xdr:cNvPr id="12" name="Chart 11">
          <a:extLst>
            <a:ext uri="{FF2B5EF4-FFF2-40B4-BE49-F238E27FC236}">
              <a16:creationId xmlns:a16="http://schemas.microsoft.com/office/drawing/2014/main" id="{E5AAFE26-B4DA-4244-8A36-4CC45988D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244928</xdr:colOff>
      <xdr:row>7</xdr:row>
      <xdr:rowOff>108857</xdr:rowOff>
    </xdr:from>
    <xdr:to>
      <xdr:col>5</xdr:col>
      <xdr:colOff>544285</xdr:colOff>
      <xdr:row>12</xdr:row>
      <xdr:rowOff>54973</xdr:rowOff>
    </xdr:to>
    <mc:AlternateContent xmlns:mc="http://schemas.openxmlformats.org/markup-compatibility/2006" xmlns:a14="http://schemas.microsoft.com/office/drawing/2010/main">
      <mc:Choice Requires="a14">
        <xdr:graphicFrame macro="">
          <xdr:nvGraphicFramePr>
            <xdr:cNvPr id="24" name="Sales Channel 1">
              <a:extLst>
                <a:ext uri="{FF2B5EF4-FFF2-40B4-BE49-F238E27FC236}">
                  <a16:creationId xmlns:a16="http://schemas.microsoft.com/office/drawing/2014/main" id="{CEAD4D32-826B-43DD-9D86-03BA4F4A919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244928" y="1347107"/>
              <a:ext cx="3360964"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258535</xdr:colOff>
      <xdr:row>13</xdr:row>
      <xdr:rowOff>149680</xdr:rowOff>
    </xdr:from>
    <xdr:to>
      <xdr:col>5</xdr:col>
      <xdr:colOff>544286</xdr:colOff>
      <xdr:row>18</xdr:row>
      <xdr:rowOff>81644</xdr:rowOff>
    </xdr:to>
    <mc:AlternateContent xmlns:mc="http://schemas.openxmlformats.org/markup-compatibility/2006" xmlns:a14="http://schemas.microsoft.com/office/drawing/2010/main">
      <mc:Choice Requires="a14">
        <xdr:graphicFrame macro="">
          <xdr:nvGraphicFramePr>
            <xdr:cNvPr id="25" name="Order Priority 1">
              <a:extLst>
                <a:ext uri="{FF2B5EF4-FFF2-40B4-BE49-F238E27FC236}">
                  <a16:creationId xmlns:a16="http://schemas.microsoft.com/office/drawing/2014/main" id="{A2E98D8A-8B43-4407-808D-FFA37E557580}"/>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258535" y="2449287"/>
              <a:ext cx="3347358" cy="816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524933</xdr:colOff>
      <xdr:row>22</xdr:row>
      <xdr:rowOff>177800</xdr:rowOff>
    </xdr:from>
    <xdr:to>
      <xdr:col>23</xdr:col>
      <xdr:colOff>220133</xdr:colOff>
      <xdr:row>38</xdr:row>
      <xdr:rowOff>150284</xdr:rowOff>
    </xdr:to>
    <xdr:graphicFrame macro="">
      <xdr:nvGraphicFramePr>
        <xdr:cNvPr id="7" name="Chart 6">
          <a:extLst>
            <a:ext uri="{FF2B5EF4-FFF2-40B4-BE49-F238E27FC236}">
              <a16:creationId xmlns:a16="http://schemas.microsoft.com/office/drawing/2014/main" id="{AF53CD79-8C9F-41FC-A471-0CAA5DFBE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19.951095370372" createdVersion="8" refreshedVersion="8" minRefreshableVersion="3" recordCount="350" xr:uid="{103D859A-D30B-43CE-99D5-01B80C771FEA}">
  <cacheSource type="worksheet">
    <worksheetSource name="Table6"/>
  </cacheSource>
  <cacheFields count="12">
    <cacheField name="Order ID" numFmtId="0">
      <sharedItems/>
    </cacheField>
    <cacheField name="Region Filled" numFmtId="0">
      <sharedItems count="4">
        <s v="East"/>
        <s v="West"/>
        <s v="North"/>
        <s v="South"/>
      </sharedItems>
    </cacheField>
    <cacheField name="Country" numFmtId="0">
      <sharedItems/>
    </cacheField>
    <cacheField name="Catgory Filled" numFmtId="0">
      <sharedItems count="6">
        <s v="Beverages"/>
        <s v="Food"/>
        <s v="Clothing"/>
        <s v="Furniture"/>
        <s v="Electronics"/>
        <s v="Unknown"/>
      </sharedItems>
    </cacheField>
    <cacheField name="Sales Channel" numFmtId="0">
      <sharedItems/>
    </cacheField>
    <cacheField name="Order Priority" numFmtId="0">
      <sharedItems/>
    </cacheField>
    <cacheField name="Order Date" numFmtId="22">
      <sharedItems containsSemiMixedTypes="0" containsNonDate="0" containsDate="1" containsString="0" minDate="2023-01-01T00:00:00" maxDate="2023-12-17T00:00:00"/>
    </cacheField>
    <cacheField name="Unit sold Filled" numFmtId="1">
      <sharedItems containsSemiMixedTypes="0" containsString="0" containsNumber="1" minValue="11" maxValue="498"/>
    </cacheField>
    <cacheField name="Unit Price Filled" numFmtId="2">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4">
      <sharedItems containsSemiMixedTypes="0" containsString="0" containsNumber="1" minValue="-150825.24" maxValue="224464.5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19.951096180557" createdVersion="8" refreshedVersion="8" minRefreshableVersion="3" recordCount="350" xr:uid="{D3B1B574-540F-498C-99B1-47F3F53CB255}">
  <cacheSource type="worksheet">
    <worksheetSource name="Table63"/>
  </cacheSource>
  <cacheFields count="17">
    <cacheField name="Order ID" numFmtId="0">
      <sharedItems/>
    </cacheField>
    <cacheField name="Region Filled" numFmtId="0">
      <sharedItems count="4">
        <s v="East"/>
        <s v="West"/>
        <s v="North"/>
        <s v="South"/>
      </sharedItems>
    </cacheField>
    <cacheField name="Country" numFmtId="0">
      <sharedItems count="5">
        <s v="Germany"/>
        <s v="India"/>
        <s v="USA"/>
        <s v="UK"/>
        <s v="Australia"/>
      </sharedItems>
    </cacheField>
    <cacheField name="Catgory Filled" numFmtId="0">
      <sharedItems/>
    </cacheField>
    <cacheField name="Sales Channel" numFmtId="0">
      <sharedItems count="2">
        <s v="Online"/>
        <s v="Offline"/>
      </sharedItems>
    </cacheField>
    <cacheField name="Order Priority" numFmtId="0">
      <sharedItems count="3">
        <s v="High"/>
        <s v="Low"/>
        <s v="Medium"/>
      </sharedItems>
    </cacheField>
    <cacheField name="Order Date" numFmtId="22">
      <sharedItems containsSemiMixedTypes="0" containsNonDate="0" containsDate="1" containsString="0" minDate="2023-01-01T00:00:00" maxDate="2023-12-17T00:00:00" count="3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sharedItems>
      <fieldGroup par="16"/>
    </cacheField>
    <cacheField name="Unit sold Filled" numFmtId="1">
      <sharedItems containsSemiMixedTypes="0" containsString="0" containsNumber="1" minValue="11" maxValue="498"/>
    </cacheField>
    <cacheField name="Unit Price Filled" numFmtId="2">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4">
      <sharedItems containsSemiMixedTypes="0" containsString="0" containsNumber="1" minValue="-150825.24" maxValue="224464.59"/>
    </cacheField>
    <cacheField name="Profit Margin" numFmtId="164">
      <sharedItems containsSemiMixedTypes="0" containsString="0" containsNumber="1" minValue="-33.474153297682705" maxValue="0.99464164423536516"/>
    </cacheField>
    <cacheField name="Order Year/Month" numFmtId="165">
      <sharedItems/>
    </cacheField>
    <cacheField name="Sales per Unit" numFmtId="4">
      <sharedItems containsSemiMixedTypes="0" containsString="0" containsNumber="1" minValue="5.61" maxValue="497.76"/>
    </cacheField>
    <cacheField name="Days (Order Date)" numFmtId="0" databaseField="0">
      <fieldGroup base="6">
        <rangePr groupBy="days" startDate="2023-01-01T00:00:00" endDate="2023-12-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2-2023"/>
        </groupItems>
      </fieldGroup>
    </cacheField>
    <cacheField name="Months (Order Date)" numFmtId="0" databaseField="0">
      <fieldGroup base="6">
        <rangePr groupBy="months" startDate="2023-01-01T00:00:00" endDate="2023-12-17T00:00:00"/>
        <groupItems count="14">
          <s v="&lt;01-01-2023"/>
          <s v="Jan"/>
          <s v="Feb"/>
          <s v="Mar"/>
          <s v="Apr"/>
          <s v="May"/>
          <s v="Jun"/>
          <s v="Jul"/>
          <s v="Aug"/>
          <s v="Sep"/>
          <s v="Oct"/>
          <s v="Nov"/>
          <s v="Dec"/>
          <s v="&gt;17-12-2023"/>
        </groupItems>
      </fieldGroup>
    </cacheField>
  </cacheFields>
  <extLst>
    <ext xmlns:x14="http://schemas.microsoft.com/office/spreadsheetml/2009/9/main" uri="{725AE2AE-9491-48be-B2B4-4EB974FC3084}">
      <x14:pivotCacheDefinition pivotCacheId="782533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n v="-159.80000000000291"/>
  </r>
  <r>
    <s v="ORD0002"/>
    <x v="1"/>
    <s v="India"/>
    <x v="1"/>
    <s v="Online"/>
    <s v="Low"/>
    <d v="2023-01-02T00:00:00"/>
    <n v="341"/>
    <n v="467.92"/>
    <n v="139.84"/>
    <n v="159560.72"/>
    <n v="111875.28"/>
  </r>
  <r>
    <s v="ORD0003"/>
    <x v="2"/>
    <s v="India"/>
    <x v="2"/>
    <s v="Offline"/>
    <s v="High"/>
    <d v="2023-01-03T00:00:00"/>
    <n v="179"/>
    <n v="473.94"/>
    <n v="97.14"/>
    <n v="84835.26"/>
    <n v="67447.199999999997"/>
  </r>
  <r>
    <s v="ORD0004"/>
    <x v="0"/>
    <s v="USA"/>
    <x v="3"/>
    <s v="Offline"/>
    <s v="Medium"/>
    <d v="2023-01-04T00:00:00"/>
    <n v="18"/>
    <n v="314.52999999999997"/>
    <n v="204.87"/>
    <n v="5661.5399999999991"/>
    <n v="1973.8799999999992"/>
  </r>
  <r>
    <s v="ORD0005"/>
    <x v="0"/>
    <s v="India"/>
    <x v="3"/>
    <s v="Offline"/>
    <s v="Medium"/>
    <d v="2023-01-05T00:00:00"/>
    <n v="472"/>
    <n v="392.79"/>
    <n v="330.46"/>
    <n v="185396.88"/>
    <n v="29419.760000000009"/>
  </r>
  <r>
    <s v="ORD0006"/>
    <x v="1"/>
    <s v="UK"/>
    <x v="2"/>
    <s v="Online"/>
    <s v="High"/>
    <d v="2023-01-06T00:00:00"/>
    <n v="49"/>
    <n v="308.07"/>
    <n v="113.32"/>
    <n v="15095.43"/>
    <n v="9542.75"/>
  </r>
  <r>
    <s v="ORD0007"/>
    <x v="2"/>
    <s v="Germany"/>
    <x v="2"/>
    <s v="Online"/>
    <s v="Low"/>
    <d v="2023-01-07T00:00:00"/>
    <n v="34"/>
    <n v="244.78"/>
    <n v="377.07"/>
    <n v="8322.52"/>
    <n v="-4497.8599999999988"/>
  </r>
  <r>
    <s v="ORD0008"/>
    <x v="2"/>
    <s v="India"/>
    <x v="0"/>
    <s v="Online"/>
    <s v="High"/>
    <d v="2023-01-08T00:00:00"/>
    <n v="270"/>
    <n v="332.11"/>
    <n v="349.59"/>
    <n v="89669.7"/>
    <n v="-4719.5999999999913"/>
  </r>
  <r>
    <s v="ORD0009"/>
    <x v="0"/>
    <s v="India"/>
    <x v="0"/>
    <s v="Online"/>
    <s v="Low"/>
    <d v="2023-01-09T00:00:00"/>
    <n v="404"/>
    <n v="278.74"/>
    <n v="66.38"/>
    <n v="112610.96"/>
    <n v="85793.44"/>
  </r>
  <r>
    <s v="ORD0010"/>
    <x v="1"/>
    <s v="USA"/>
    <x v="3"/>
    <s v="Online"/>
    <s v="Medium"/>
    <d v="2023-01-10T00:00:00"/>
    <n v="452"/>
    <n v="300.75"/>
    <n v="314.94"/>
    <n v="135939"/>
    <n v="-6413.8800000000047"/>
  </r>
  <r>
    <s v="ORD0011"/>
    <x v="0"/>
    <s v="USA"/>
    <x v="1"/>
    <s v="Online"/>
    <s v="Low"/>
    <d v="2023-01-11T00:00:00"/>
    <n v="235"/>
    <n v="393"/>
    <n v="230.69"/>
    <n v="92355"/>
    <n v="38142.85"/>
  </r>
  <r>
    <s v="ORD0012"/>
    <x v="0"/>
    <s v="UK"/>
    <x v="3"/>
    <s v="Offline"/>
    <s v="Medium"/>
    <d v="2023-01-12T00:00:00"/>
    <n v="481"/>
    <n v="243.05"/>
    <n v="227.5"/>
    <n v="116907.05"/>
    <n v="7479.5500000000029"/>
  </r>
  <r>
    <s v="ORD0013"/>
    <x v="0"/>
    <s v="Germany"/>
    <x v="1"/>
    <s v="Offline"/>
    <s v="Low"/>
    <d v="2023-01-13T00:00:00"/>
    <n v="133"/>
    <n v="25.17"/>
    <n v="157.63999999999999"/>
    <n v="3347.61"/>
    <n v="-17618.509999999998"/>
  </r>
  <r>
    <s v="ORD0014"/>
    <x v="0"/>
    <s v="USA"/>
    <x v="1"/>
    <s v="Offline"/>
    <s v="Low"/>
    <d v="2023-01-14T00:00:00"/>
    <n v="472"/>
    <n v="86.18"/>
    <n v="201.46"/>
    <n v="40676.960000000006"/>
    <n v="-54412.160000000003"/>
  </r>
  <r>
    <s v="ORD0015"/>
    <x v="1"/>
    <s v="India"/>
    <x v="0"/>
    <s v="Offline"/>
    <s v="Low"/>
    <d v="2023-01-15T00:00:00"/>
    <n v="47"/>
    <n v="222.11"/>
    <n v="160.08000000000001"/>
    <n v="10439.17"/>
    <n v="2915.41"/>
  </r>
  <r>
    <s v="ORD0016"/>
    <x v="2"/>
    <s v="Germany"/>
    <x v="4"/>
    <s v="Online"/>
    <s v="High"/>
    <d v="2023-01-16T00:00:00"/>
    <n v="337"/>
    <n v="363.79"/>
    <n v="216.81"/>
    <n v="122597.23000000001"/>
    <n v="49532.260000000009"/>
  </r>
  <r>
    <s v="ORD0017"/>
    <x v="1"/>
    <s v="Germany"/>
    <x v="4"/>
    <s v="Online"/>
    <s v="High"/>
    <d v="2023-01-17T00:00:00"/>
    <n v="260"/>
    <n v="298.67"/>
    <n v="251.92"/>
    <n v="77654.2"/>
    <n v="12155"/>
  </r>
  <r>
    <s v="ORD0018"/>
    <x v="1"/>
    <s v="India"/>
    <x v="2"/>
    <s v="Offline"/>
    <s v="Medium"/>
    <d v="2023-01-18T00:00:00"/>
    <n v="398"/>
    <n v="326.89999999999998"/>
    <n v="270.37"/>
    <n v="130106.2"/>
    <n v="22498.940000000002"/>
  </r>
  <r>
    <s v="ORD0019"/>
    <x v="1"/>
    <s v="USA"/>
    <x v="0"/>
    <s v="Online"/>
    <s v="Medium"/>
    <d v="2023-01-19T00:00:00"/>
    <n v="185"/>
    <n v="242.24"/>
    <n v="213.93"/>
    <n v="44814.400000000001"/>
    <n v="5237.3499999999985"/>
  </r>
  <r>
    <s v="ORD0020"/>
    <x v="0"/>
    <s v="India"/>
    <x v="1"/>
    <s v="Offline"/>
    <s v="High"/>
    <d v="2023-01-20T00:00:00"/>
    <n v="99"/>
    <n v="309.79000000000002"/>
    <n v="289.13"/>
    <n v="30669.210000000003"/>
    <n v="2045.3400000000038"/>
  </r>
  <r>
    <s v="ORD0021"/>
    <x v="3"/>
    <s v="Germany"/>
    <x v="4"/>
    <s v="Offline"/>
    <s v="Medium"/>
    <d v="2023-01-21T00:00:00"/>
    <n v="411"/>
    <n v="167.86"/>
    <n v="58.23"/>
    <n v="68990.460000000006"/>
    <n v="45057.930000000008"/>
  </r>
  <r>
    <s v="ORD0022"/>
    <x v="2"/>
    <s v="Australia"/>
    <x v="1"/>
    <s v="Offline"/>
    <s v="High"/>
    <d v="2023-01-22T00:00:00"/>
    <n v="463"/>
    <n v="237.74"/>
    <n v="86.37"/>
    <n v="110073.62000000001"/>
    <n v="70084.31"/>
  </r>
  <r>
    <s v="ORD0023"/>
    <x v="3"/>
    <s v="Australia"/>
    <x v="4"/>
    <s v="Online"/>
    <s v="Low"/>
    <d v="2023-01-23T00:00:00"/>
    <n v="46"/>
    <n v="373.42"/>
    <n v="327.86"/>
    <n v="17177.32"/>
    <n v="2095.7599999999984"/>
  </r>
  <r>
    <s v="ORD0024"/>
    <x v="1"/>
    <s v="UK"/>
    <x v="4"/>
    <s v="Offline"/>
    <s v="Medium"/>
    <d v="2023-01-24T00:00:00"/>
    <n v="325"/>
    <n v="436.56"/>
    <n v="130.37"/>
    <n v="141882"/>
    <n v="99511.75"/>
  </r>
  <r>
    <s v="ORD0025"/>
    <x v="1"/>
    <s v="India"/>
    <x v="5"/>
    <s v="Offline"/>
    <s v="Medium"/>
    <d v="2023-01-25T00:00:00"/>
    <n v="185"/>
    <n v="219.66"/>
    <n v="11.11"/>
    <n v="40637.1"/>
    <n v="38581.75"/>
  </r>
  <r>
    <s v="ORD0026"/>
    <x v="3"/>
    <s v="India"/>
    <x v="0"/>
    <s v="Offline"/>
    <s v="High"/>
    <d v="2023-01-26T00:00:00"/>
    <n v="470"/>
    <n v="26.61"/>
    <n v="63.21"/>
    <n v="12506.699999999999"/>
    <n v="-17202"/>
  </r>
  <r>
    <s v="ORD0027"/>
    <x v="3"/>
    <s v="UK"/>
    <x v="3"/>
    <s v="Online"/>
    <s v="Medium"/>
    <d v="2023-01-27T00:00:00"/>
    <n v="293"/>
    <n v="85.03"/>
    <n v="91"/>
    <n v="24913.79"/>
    <n v="-1749.2099999999991"/>
  </r>
  <r>
    <s v="ORD0028"/>
    <x v="3"/>
    <s v="UK"/>
    <x v="1"/>
    <s v="Online"/>
    <s v="Medium"/>
    <d v="2023-01-28T00:00:00"/>
    <n v="462"/>
    <n v="249.64520588235297"/>
    <n v="383.01"/>
    <n v="115336.08511764708"/>
    <n v="-61614.53488235292"/>
  </r>
  <r>
    <s v="ORD0029"/>
    <x v="1"/>
    <s v="UK"/>
    <x v="0"/>
    <s v="Offline"/>
    <s v="Low"/>
    <d v="2023-01-29T00:00:00"/>
    <n v="470"/>
    <n v="328.37"/>
    <n v="230.07"/>
    <n v="154333.9"/>
    <n v="46201"/>
  </r>
  <r>
    <s v="ORD0030"/>
    <x v="1"/>
    <s v="Germany"/>
    <x v="0"/>
    <s v="Online"/>
    <s v="Medium"/>
    <d v="2023-01-30T00:00:00"/>
    <n v="90"/>
    <n v="169.5"/>
    <n v="373.23"/>
    <n v="15255"/>
    <n v="-18335.700000000004"/>
  </r>
  <r>
    <s v="ORD0031"/>
    <x v="1"/>
    <s v="India"/>
    <x v="0"/>
    <s v="Online"/>
    <s v="Low"/>
    <d v="2023-01-31T00:00:00"/>
    <n v="123"/>
    <n v="273.52999999999997"/>
    <n v="230.92"/>
    <n v="33644.189999999995"/>
    <n v="5241.0299999999952"/>
  </r>
  <r>
    <s v="ORD0032"/>
    <x v="2"/>
    <s v="Germany"/>
    <x v="0"/>
    <s v="Online"/>
    <s v="High"/>
    <d v="2023-02-01T00:00:00"/>
    <n v="49"/>
    <n v="249.17"/>
    <n v="192.78"/>
    <n v="12209.33"/>
    <n v="2763.1100000000006"/>
  </r>
  <r>
    <s v="ORD0033"/>
    <x v="1"/>
    <s v="UK"/>
    <x v="0"/>
    <s v="Online"/>
    <s v="Medium"/>
    <d v="2023-02-02T00:00:00"/>
    <n v="310"/>
    <n v="45.36"/>
    <n v="126.86"/>
    <n v="14061.6"/>
    <n v="-25265"/>
  </r>
  <r>
    <s v="ORD0034"/>
    <x v="3"/>
    <s v="India"/>
    <x v="2"/>
    <s v="Online"/>
    <s v="Low"/>
    <d v="2023-02-03T00:00:00"/>
    <n v="233"/>
    <n v="204.61"/>
    <n v="243.34"/>
    <n v="47674.130000000005"/>
    <n v="-9024.0899999999965"/>
  </r>
  <r>
    <s v="ORD0035"/>
    <x v="3"/>
    <s v="Germany"/>
    <x v="1"/>
    <s v="Online"/>
    <s v="High"/>
    <d v="2023-02-04T00:00:00"/>
    <n v="327"/>
    <n v="114.18"/>
    <n v="57.4"/>
    <n v="37336.86"/>
    <n v="18567.060000000001"/>
  </r>
  <r>
    <s v="ORD0036"/>
    <x v="2"/>
    <s v="Germany"/>
    <x v="0"/>
    <s v="Online"/>
    <s v="Medium"/>
    <d v="2023-02-05T00:00:00"/>
    <n v="358"/>
    <n v="212.11"/>
    <n v="359.51"/>
    <n v="75935.38"/>
    <n v="-52769.2"/>
  </r>
  <r>
    <s v="ORD0037"/>
    <x v="1"/>
    <s v="UK"/>
    <x v="1"/>
    <s v="Online"/>
    <s v="High"/>
    <d v="2023-02-06T00:00:00"/>
    <n v="124"/>
    <n v="249.64520588235297"/>
    <n v="332.07"/>
    <n v="30956.005529411766"/>
    <n v="-10220.674470588234"/>
  </r>
  <r>
    <s v="ORD0038"/>
    <x v="2"/>
    <s v="India"/>
    <x v="2"/>
    <s v="Online"/>
    <s v="Medium"/>
    <d v="2023-02-07T00:00:00"/>
    <n v="195"/>
    <n v="421.02"/>
    <n v="128.38"/>
    <n v="82098.899999999994"/>
    <n v="57064.799999999996"/>
  </r>
  <r>
    <s v="ORD0039"/>
    <x v="2"/>
    <s v="UK"/>
    <x v="2"/>
    <s v="Online"/>
    <s v="High"/>
    <d v="2023-02-08T00:00:00"/>
    <n v="255.90294117647059"/>
    <n v="91.23"/>
    <n v="381.21"/>
    <n v="23346.025323529411"/>
    <n v="-74206.734882352946"/>
  </r>
  <r>
    <s v="ORD0040"/>
    <x v="0"/>
    <s v="India"/>
    <x v="1"/>
    <s v="Offline"/>
    <s v="High"/>
    <d v="2023-02-09T00:00:00"/>
    <n v="65"/>
    <n v="480.59"/>
    <n v="330.43"/>
    <n v="31238.35"/>
    <n v="9760.3999999999978"/>
  </r>
  <r>
    <s v="ORD0041"/>
    <x v="0"/>
    <s v="Australia"/>
    <x v="4"/>
    <s v="Offline"/>
    <s v="Low"/>
    <d v="2023-02-10T00:00:00"/>
    <n v="49"/>
    <n v="210.87"/>
    <n v="267.19"/>
    <n v="10332.630000000001"/>
    <n v="-2759.6799999999985"/>
  </r>
  <r>
    <s v="ORD0042"/>
    <x v="0"/>
    <s v="USA"/>
    <x v="3"/>
    <s v="Online"/>
    <s v="High"/>
    <d v="2023-02-11T00:00:00"/>
    <n v="363"/>
    <n v="423.89"/>
    <n v="50.46"/>
    <n v="153872.07"/>
    <n v="135555.09"/>
  </r>
  <r>
    <s v="ORD0043"/>
    <x v="3"/>
    <s v="USA"/>
    <x v="4"/>
    <s v="Offline"/>
    <s v="Medium"/>
    <d v="2023-02-12T00:00:00"/>
    <n v="49"/>
    <n v="316.24"/>
    <n v="192.34"/>
    <n v="15495.76"/>
    <n v="6071.1"/>
  </r>
  <r>
    <s v="ORD0044"/>
    <x v="1"/>
    <s v="USA"/>
    <x v="4"/>
    <s v="Offline"/>
    <s v="Medium"/>
    <d v="2023-02-13T00:00:00"/>
    <n v="356"/>
    <n v="369"/>
    <n v="203.43"/>
    <n v="131364"/>
    <n v="58942.92"/>
  </r>
  <r>
    <s v="ORD0045"/>
    <x v="1"/>
    <s v="UK"/>
    <x v="4"/>
    <s v="Online"/>
    <s v="Low"/>
    <d v="2023-02-14T00:00:00"/>
    <n v="470"/>
    <n v="249.64520588235297"/>
    <n v="94.56"/>
    <n v="117333.24676470589"/>
    <n v="72890.046764705883"/>
  </r>
  <r>
    <s v="ORD0046"/>
    <x v="1"/>
    <s v="Australia"/>
    <x v="0"/>
    <s v="Online"/>
    <s v="Medium"/>
    <d v="2023-02-15T00:00:00"/>
    <n v="246"/>
    <n v="254.9"/>
    <n v="33.83"/>
    <n v="62705.4"/>
    <n v="54383.22"/>
  </r>
  <r>
    <s v="ORD0047"/>
    <x v="1"/>
    <s v="India"/>
    <x v="2"/>
    <s v="Online"/>
    <s v="Medium"/>
    <d v="2023-02-16T00:00:00"/>
    <n v="298"/>
    <n v="273.93"/>
    <n v="311.14"/>
    <n v="81631.14"/>
    <n v="-11088.580000000002"/>
  </r>
  <r>
    <s v="ORD0048"/>
    <x v="0"/>
    <s v="Germany"/>
    <x v="4"/>
    <s v="Offline"/>
    <s v="Medium"/>
    <d v="2023-02-17T00:00:00"/>
    <n v="271"/>
    <n v="259.43"/>
    <n v="50.57"/>
    <n v="70305.53"/>
    <n v="56601.06"/>
  </r>
  <r>
    <s v="ORD0049"/>
    <x v="3"/>
    <s v="India"/>
    <x v="2"/>
    <s v="Offline"/>
    <s v="High"/>
    <d v="2023-02-18T00:00:00"/>
    <n v="225"/>
    <n v="296.08999999999997"/>
    <n v="238.53"/>
    <n v="66620.25"/>
    <n v="12951"/>
  </r>
  <r>
    <s v="ORD0050"/>
    <x v="1"/>
    <s v="Germany"/>
    <x v="1"/>
    <s v="Online"/>
    <s v="High"/>
    <d v="2023-02-19T00:00:00"/>
    <n v="156"/>
    <n v="19.55"/>
    <n v="374.71"/>
    <n v="3049.8"/>
    <n v="-55404.959999999992"/>
  </r>
  <r>
    <s v="ORD0051"/>
    <x v="0"/>
    <s v="India"/>
    <x v="3"/>
    <s v="Online"/>
    <s v="Medium"/>
    <d v="2023-02-20T00:00:00"/>
    <n v="345"/>
    <n v="200.78"/>
    <n v="350.69"/>
    <n v="69269.100000000006"/>
    <n v="-51718.95"/>
  </r>
  <r>
    <s v="ORD0052"/>
    <x v="3"/>
    <s v="Australia"/>
    <x v="1"/>
    <s v="Online"/>
    <s v="Low"/>
    <d v="2023-02-21T00:00:00"/>
    <n v="177"/>
    <n v="305.06"/>
    <n v="112.55"/>
    <n v="53995.62"/>
    <n v="34074.270000000004"/>
  </r>
  <r>
    <s v="ORD0053"/>
    <x v="0"/>
    <s v="Germany"/>
    <x v="1"/>
    <s v="Offline"/>
    <s v="High"/>
    <d v="2023-02-22T00:00:00"/>
    <n v="101"/>
    <n v="300.87"/>
    <n v="340.88"/>
    <n v="30387.87"/>
    <n v="-4041.0099999999984"/>
  </r>
  <r>
    <s v="ORD0054"/>
    <x v="1"/>
    <s v="UK"/>
    <x v="0"/>
    <s v="Offline"/>
    <s v="Low"/>
    <d v="2023-02-23T00:00:00"/>
    <n v="362"/>
    <n v="397.51"/>
    <n v="2.13"/>
    <n v="143898.62"/>
    <n v="143127.56"/>
  </r>
  <r>
    <s v="ORD0055"/>
    <x v="0"/>
    <s v="India"/>
    <x v="3"/>
    <s v="Offline"/>
    <s v="Medium"/>
    <d v="2023-02-24T00:00:00"/>
    <n v="68"/>
    <n v="329.23"/>
    <n v="9.0399999999999991"/>
    <n v="22387.64"/>
    <n v="21772.92"/>
  </r>
  <r>
    <s v="ORD0056"/>
    <x v="1"/>
    <s v="India"/>
    <x v="1"/>
    <s v="Offline"/>
    <s v="Medium"/>
    <d v="2023-02-25T00:00:00"/>
    <n v="68"/>
    <n v="496.11"/>
    <n v="241.82"/>
    <n v="33735.480000000003"/>
    <n v="17291.720000000005"/>
  </r>
  <r>
    <s v="ORD0057"/>
    <x v="1"/>
    <s v="Germany"/>
    <x v="1"/>
    <s v="Online"/>
    <s v="High"/>
    <d v="2023-02-26T00:00:00"/>
    <n v="313"/>
    <n v="145.51"/>
    <n v="147.19"/>
    <n v="45544.63"/>
    <n v="-525.84000000000378"/>
  </r>
  <r>
    <s v="ORD0058"/>
    <x v="2"/>
    <s v="UK"/>
    <x v="3"/>
    <s v="Online"/>
    <s v="Medium"/>
    <d v="2023-02-27T00:00:00"/>
    <n v="178"/>
    <n v="182.78"/>
    <n v="155.81"/>
    <n v="32534.84"/>
    <n v="4800.66"/>
  </r>
  <r>
    <s v="ORD0059"/>
    <x v="0"/>
    <s v="UK"/>
    <x v="3"/>
    <s v="Online"/>
    <s v="High"/>
    <d v="2023-02-28T00:00:00"/>
    <n v="278"/>
    <n v="195"/>
    <n v="226.65"/>
    <n v="54210"/>
    <n v="-8798.7000000000044"/>
  </r>
  <r>
    <s v="ORD0060"/>
    <x v="2"/>
    <s v="Australia"/>
    <x v="1"/>
    <s v="Online"/>
    <s v="Medium"/>
    <d v="2023-03-01T00:00:00"/>
    <n v="372"/>
    <n v="235.58"/>
    <n v="78.33"/>
    <n v="87635.760000000009"/>
    <n v="58497.000000000015"/>
  </r>
  <r>
    <s v="ORD0061"/>
    <x v="0"/>
    <s v="UK"/>
    <x v="3"/>
    <s v="Offline"/>
    <s v="Medium"/>
    <d v="2023-03-02T00:00:00"/>
    <n v="54"/>
    <n v="418.82"/>
    <n v="86.28"/>
    <n v="22616.28"/>
    <n v="17957.16"/>
  </r>
  <r>
    <s v="ORD0062"/>
    <x v="0"/>
    <s v="UK"/>
    <x v="1"/>
    <s v="Offline"/>
    <s v="High"/>
    <d v="2023-03-03T00:00:00"/>
    <n v="354"/>
    <n v="121.72"/>
    <n v="194.87"/>
    <n v="43088.88"/>
    <n v="-25895.1"/>
  </r>
  <r>
    <s v="ORD0063"/>
    <x v="2"/>
    <s v="UK"/>
    <x v="1"/>
    <s v="Online"/>
    <s v="High"/>
    <d v="2023-03-04T00:00:00"/>
    <n v="190"/>
    <n v="389.12"/>
    <n v="302.19"/>
    <n v="73932.800000000003"/>
    <n v="16516.700000000004"/>
  </r>
  <r>
    <s v="ORD0064"/>
    <x v="1"/>
    <s v="USA"/>
    <x v="0"/>
    <s v="Online"/>
    <s v="High"/>
    <d v="2023-03-05T00:00:00"/>
    <n v="179"/>
    <n v="205.63"/>
    <n v="248.56"/>
    <n v="36807.769999999997"/>
    <n v="-7684.4700000000012"/>
  </r>
  <r>
    <s v="ORD0065"/>
    <x v="0"/>
    <s v="Australia"/>
    <x v="4"/>
    <s v="Offline"/>
    <s v="Medium"/>
    <d v="2023-03-06T00:00:00"/>
    <n v="365"/>
    <n v="302.92"/>
    <n v="120.35"/>
    <n v="110565.8"/>
    <n v="66638.05"/>
  </r>
  <r>
    <s v="ORD0066"/>
    <x v="3"/>
    <s v="India"/>
    <x v="1"/>
    <s v="Online"/>
    <s v="Medium"/>
    <d v="2023-03-07T00:00:00"/>
    <n v="200"/>
    <n v="318.11"/>
    <n v="173.27"/>
    <n v="63622"/>
    <n v="28968"/>
  </r>
  <r>
    <s v="ORD0067"/>
    <x v="1"/>
    <s v="Germany"/>
    <x v="2"/>
    <s v="Offline"/>
    <s v="Low"/>
    <d v="2023-03-08T00:00:00"/>
    <n v="164"/>
    <n v="189.56"/>
    <n v="69.92"/>
    <n v="31087.84"/>
    <n v="19620.96"/>
  </r>
  <r>
    <s v="ORD0068"/>
    <x v="2"/>
    <s v="India"/>
    <x v="4"/>
    <s v="Online"/>
    <s v="High"/>
    <d v="2023-03-09T00:00:00"/>
    <n v="431"/>
    <n v="258.74"/>
    <n v="31.7"/>
    <n v="111516.94"/>
    <n v="97854.24"/>
  </r>
  <r>
    <s v="ORD0069"/>
    <x v="1"/>
    <s v="Australia"/>
    <x v="4"/>
    <s v="Online"/>
    <s v="Medium"/>
    <d v="2023-03-10T00:00:00"/>
    <n v="197"/>
    <n v="209.45"/>
    <n v="313.51"/>
    <n v="41261.649999999994"/>
    <n v="-20499.820000000007"/>
  </r>
  <r>
    <s v="ORD0070"/>
    <x v="3"/>
    <s v="Germany"/>
    <x v="4"/>
    <s v="Online"/>
    <s v="Medium"/>
    <d v="2023-03-11T00:00:00"/>
    <n v="16"/>
    <n v="39.22"/>
    <n v="107.62"/>
    <n v="627.52"/>
    <n v="-1094.4000000000001"/>
  </r>
  <r>
    <s v="ORD0071"/>
    <x v="3"/>
    <s v="Australia"/>
    <x v="0"/>
    <s v="Online"/>
    <s v="High"/>
    <d v="2023-03-12T00:00:00"/>
    <n v="142"/>
    <n v="221.4"/>
    <n v="72.75"/>
    <n v="31438.799999999999"/>
    <n v="21108.3"/>
  </r>
  <r>
    <s v="ORD0072"/>
    <x v="3"/>
    <s v="UK"/>
    <x v="1"/>
    <s v="Online"/>
    <s v="Low"/>
    <d v="2023-03-13T00:00:00"/>
    <n v="244"/>
    <n v="53.21"/>
    <n v="277.26"/>
    <n v="12983.24"/>
    <n v="-54668.200000000004"/>
  </r>
  <r>
    <s v="ORD0073"/>
    <x v="2"/>
    <s v="Germany"/>
    <x v="0"/>
    <s v="Online"/>
    <s v="High"/>
    <d v="2023-03-14T00:00:00"/>
    <n v="54"/>
    <n v="205.49"/>
    <n v="247.98"/>
    <n v="11096.460000000001"/>
    <n v="-2294.4599999999991"/>
  </r>
  <r>
    <s v="ORD0074"/>
    <x v="3"/>
    <s v="UK"/>
    <x v="1"/>
    <s v="Online"/>
    <s v="Low"/>
    <d v="2023-03-15T00:00:00"/>
    <n v="323"/>
    <n v="298.49"/>
    <n v="254.01"/>
    <n v="96412.27"/>
    <n v="14367.040000000008"/>
  </r>
  <r>
    <s v="ORD0075"/>
    <x v="2"/>
    <s v="India"/>
    <x v="0"/>
    <s v="Offline"/>
    <s v="Medium"/>
    <d v="2023-03-16T00:00:00"/>
    <n v="258"/>
    <n v="291.81"/>
    <n v="93.1"/>
    <n v="75286.98"/>
    <n v="51267.179999999993"/>
  </r>
  <r>
    <s v="ORD0076"/>
    <x v="3"/>
    <s v="India"/>
    <x v="0"/>
    <s v="Offline"/>
    <s v="Low"/>
    <d v="2023-03-17T00:00:00"/>
    <n v="40"/>
    <n v="333"/>
    <n v="94.59"/>
    <n v="13320"/>
    <n v="9536.4"/>
  </r>
  <r>
    <s v="ORD0077"/>
    <x v="1"/>
    <s v="Germany"/>
    <x v="2"/>
    <s v="Offline"/>
    <s v="Medium"/>
    <d v="2023-03-18T00:00:00"/>
    <n v="32"/>
    <n v="52.15"/>
    <n v="89.88"/>
    <n v="1668.8"/>
    <n v="-1207.3599999999999"/>
  </r>
  <r>
    <s v="ORD0078"/>
    <x v="1"/>
    <s v="Germany"/>
    <x v="0"/>
    <s v="Offline"/>
    <s v="High"/>
    <d v="2023-03-19T00:00:00"/>
    <n v="435"/>
    <n v="327.8"/>
    <n v="71.150000000000006"/>
    <n v="142593"/>
    <n v="111642.75"/>
  </r>
  <r>
    <s v="ORD0079"/>
    <x v="0"/>
    <s v="Australia"/>
    <x v="3"/>
    <s v="Offline"/>
    <s v="High"/>
    <d v="2023-03-20T00:00:00"/>
    <n v="403"/>
    <n v="159.51"/>
    <n v="262.98"/>
    <n v="64282.53"/>
    <n v="-41698.410000000003"/>
  </r>
  <r>
    <s v="ORD0080"/>
    <x v="1"/>
    <s v="Australia"/>
    <x v="2"/>
    <s v="Online"/>
    <s v="High"/>
    <d v="2023-03-21T00:00:00"/>
    <n v="169"/>
    <n v="249.64520588235297"/>
    <n v="339.51"/>
    <n v="42190.039794117649"/>
    <n v="-15187.150205882346"/>
  </r>
  <r>
    <s v="ORD0081"/>
    <x v="0"/>
    <s v="UK"/>
    <x v="0"/>
    <s v="Online"/>
    <s v="Low"/>
    <d v="2023-03-22T00:00:00"/>
    <n v="372"/>
    <n v="429.7"/>
    <n v="290.27999999999997"/>
    <n v="159848.4"/>
    <n v="51864.240000000005"/>
  </r>
  <r>
    <s v="ORD0082"/>
    <x v="1"/>
    <s v="Germany"/>
    <x v="4"/>
    <s v="Offline"/>
    <s v="Medium"/>
    <d v="2023-03-23T00:00:00"/>
    <n v="446"/>
    <n v="9.4700000000000006"/>
    <n v="317.25"/>
    <n v="4223.62"/>
    <n v="-137269.88"/>
  </r>
  <r>
    <s v="ORD0083"/>
    <x v="2"/>
    <s v="India"/>
    <x v="3"/>
    <s v="Online"/>
    <s v="High"/>
    <d v="2023-03-24T00:00:00"/>
    <n v="167"/>
    <n v="296.26"/>
    <n v="163.11000000000001"/>
    <n v="49475.42"/>
    <n v="22236.049999999996"/>
  </r>
  <r>
    <s v="ORD0084"/>
    <x v="1"/>
    <s v="Australia"/>
    <x v="3"/>
    <s v="Offline"/>
    <s v="High"/>
    <d v="2023-03-25T00:00:00"/>
    <n v="48"/>
    <n v="301.36"/>
    <n v="262.32"/>
    <n v="14465.28"/>
    <n v="1873.92"/>
  </r>
  <r>
    <s v="ORD0085"/>
    <x v="0"/>
    <s v="Australia"/>
    <x v="3"/>
    <s v="Offline"/>
    <s v="Medium"/>
    <d v="2023-03-26T00:00:00"/>
    <n v="424"/>
    <n v="201.35"/>
    <n v="142.99"/>
    <n v="85372.4"/>
    <n v="24744.639999999992"/>
  </r>
  <r>
    <s v="ORD0086"/>
    <x v="0"/>
    <s v="India"/>
    <x v="2"/>
    <s v="Online"/>
    <s v="High"/>
    <d v="2023-03-27T00:00:00"/>
    <n v="91"/>
    <n v="122.33"/>
    <n v="211.15"/>
    <n v="11132.03"/>
    <n v="-8082.6200000000008"/>
  </r>
  <r>
    <s v="ORD0087"/>
    <x v="3"/>
    <s v="Australia"/>
    <x v="0"/>
    <s v="Online"/>
    <s v="Medium"/>
    <d v="2023-03-28T00:00:00"/>
    <n v="365"/>
    <n v="121.16"/>
    <n v="193.69"/>
    <n v="44223.4"/>
    <n v="-26473.450000000004"/>
  </r>
  <r>
    <s v="ORD0088"/>
    <x v="2"/>
    <s v="UK"/>
    <x v="0"/>
    <s v="Online"/>
    <s v="Medium"/>
    <d v="2023-03-29T00:00:00"/>
    <n v="267"/>
    <n v="442.44"/>
    <n v="72.400000000000006"/>
    <n v="118131.48"/>
    <n v="98800.68"/>
  </r>
  <r>
    <s v="ORD0089"/>
    <x v="1"/>
    <s v="Germany"/>
    <x v="4"/>
    <s v="Offline"/>
    <s v="Medium"/>
    <d v="2023-03-30T00:00:00"/>
    <n v="215"/>
    <n v="223.8"/>
    <n v="156.06"/>
    <n v="48117"/>
    <n v="14564.099999999999"/>
  </r>
  <r>
    <s v="ORD0090"/>
    <x v="3"/>
    <s v="India"/>
    <x v="4"/>
    <s v="Online"/>
    <s v="Medium"/>
    <d v="2023-03-31T00:00:00"/>
    <n v="86"/>
    <n v="168.79"/>
    <n v="385.6"/>
    <n v="14515.939999999999"/>
    <n v="-18645.66"/>
  </r>
  <r>
    <s v="ORD0091"/>
    <x v="1"/>
    <s v="Germany"/>
    <x v="3"/>
    <s v="Offline"/>
    <s v="Medium"/>
    <d v="2023-04-01T00:00:00"/>
    <n v="486"/>
    <n v="227.14"/>
    <n v="100.93"/>
    <n v="110390.04"/>
    <n v="61338.05999999999"/>
  </r>
  <r>
    <s v="ORD0092"/>
    <x v="1"/>
    <s v="Australia"/>
    <x v="4"/>
    <s v="Offline"/>
    <s v="Low"/>
    <d v="2023-04-02T00:00:00"/>
    <n v="21"/>
    <n v="249.64520588235297"/>
    <n v="55.25"/>
    <n v="5242.5493235294125"/>
    <n v="4082.2993235294125"/>
  </r>
  <r>
    <s v="ORD0093"/>
    <x v="3"/>
    <s v="Australia"/>
    <x v="2"/>
    <s v="Offline"/>
    <s v="High"/>
    <d v="2023-04-03T00:00:00"/>
    <n v="304"/>
    <n v="77.150000000000006"/>
    <n v="168.6"/>
    <n v="23453.600000000002"/>
    <n v="-27800.799999999999"/>
  </r>
  <r>
    <s v="ORD0094"/>
    <x v="3"/>
    <s v="India"/>
    <x v="0"/>
    <s v="Online"/>
    <s v="Low"/>
    <d v="2023-04-04T00:00:00"/>
    <n v="459"/>
    <n v="227.47"/>
    <n v="316.55"/>
    <n v="104408.73"/>
    <n v="-40887.720000000016"/>
  </r>
  <r>
    <s v="ORD0095"/>
    <x v="3"/>
    <s v="UK"/>
    <x v="3"/>
    <s v="Online"/>
    <s v="High"/>
    <d v="2023-04-05T00:00:00"/>
    <n v="233"/>
    <n v="296"/>
    <n v="233.69"/>
    <n v="68968"/>
    <n v="14518.230000000003"/>
  </r>
  <r>
    <s v="ORD0096"/>
    <x v="3"/>
    <s v="USA"/>
    <x v="4"/>
    <s v="Offline"/>
    <s v="Low"/>
    <d v="2023-04-06T00:00:00"/>
    <n v="22"/>
    <n v="474.55"/>
    <n v="273.02999999999997"/>
    <n v="10440.1"/>
    <n v="4433.4400000000005"/>
  </r>
  <r>
    <s v="ORD0097"/>
    <x v="3"/>
    <s v="India"/>
    <x v="2"/>
    <s v="Online"/>
    <s v="Medium"/>
    <d v="2023-04-07T00:00:00"/>
    <n v="55"/>
    <n v="130"/>
    <n v="77.5"/>
    <n v="7150"/>
    <n v="2887.5"/>
  </r>
  <r>
    <s v="ORD0098"/>
    <x v="1"/>
    <s v="USA"/>
    <x v="2"/>
    <s v="Online"/>
    <s v="High"/>
    <d v="2023-04-08T00:00:00"/>
    <n v="164"/>
    <n v="182.83"/>
    <n v="248.34"/>
    <n v="29984.120000000003"/>
    <n v="-10743.64"/>
  </r>
  <r>
    <s v="ORD0099"/>
    <x v="3"/>
    <s v="USA"/>
    <x v="4"/>
    <s v="Online"/>
    <s v="High"/>
    <d v="2023-04-09T00:00:00"/>
    <n v="122"/>
    <n v="192.78"/>
    <n v="130.75"/>
    <n v="23519.16"/>
    <n v="7567.66"/>
  </r>
  <r>
    <s v="ORD0100"/>
    <x v="2"/>
    <s v="UK"/>
    <x v="0"/>
    <s v="Offline"/>
    <s v="Low"/>
    <d v="2023-04-10T00:00:00"/>
    <n v="242"/>
    <n v="304.74"/>
    <n v="334.05"/>
    <n v="73747.08"/>
    <n v="-7093.0200000000041"/>
  </r>
  <r>
    <s v="ORD0101"/>
    <x v="0"/>
    <s v="USA"/>
    <x v="4"/>
    <s v="Offline"/>
    <s v="Low"/>
    <d v="2023-04-11T00:00:00"/>
    <n v="26"/>
    <n v="181.58"/>
    <n v="252.46"/>
    <n v="4721.08"/>
    <n v="-1842.88"/>
  </r>
  <r>
    <s v="ORD0102"/>
    <x v="3"/>
    <s v="USA"/>
    <x v="3"/>
    <s v="Online"/>
    <s v="High"/>
    <d v="2023-04-12T00:00:00"/>
    <n v="369"/>
    <n v="269.08999999999997"/>
    <n v="81.14"/>
    <n v="99294.209999999992"/>
    <n v="69353.549999999988"/>
  </r>
  <r>
    <s v="ORD0103"/>
    <x v="3"/>
    <s v="UK"/>
    <x v="4"/>
    <s v="Offline"/>
    <s v="Low"/>
    <d v="2023-04-13T00:00:00"/>
    <n v="232"/>
    <n v="391.99"/>
    <n v="27.72"/>
    <n v="90941.680000000008"/>
    <n v="84510.640000000014"/>
  </r>
  <r>
    <s v="ORD0104"/>
    <x v="1"/>
    <s v="USA"/>
    <x v="2"/>
    <s v="Online"/>
    <s v="Low"/>
    <d v="2023-04-14T00:00:00"/>
    <n v="363"/>
    <n v="354.17"/>
    <n v="18.97"/>
    <n v="128563.71"/>
    <n v="121677.6"/>
  </r>
  <r>
    <s v="ORD0105"/>
    <x v="3"/>
    <s v="USA"/>
    <x v="4"/>
    <s v="Online"/>
    <s v="Low"/>
    <d v="2023-04-15T00:00:00"/>
    <n v="197"/>
    <n v="225.95"/>
    <n v="149.82"/>
    <n v="44512.149999999994"/>
    <n v="14997.609999999997"/>
  </r>
  <r>
    <s v="ORD0106"/>
    <x v="3"/>
    <s v="USA"/>
    <x v="0"/>
    <s v="Online"/>
    <s v="Medium"/>
    <d v="2023-04-16T00:00:00"/>
    <n v="457"/>
    <n v="432.79"/>
    <n v="107.81"/>
    <n v="197785.03"/>
    <n v="148515.85999999999"/>
  </r>
  <r>
    <s v="ORD0107"/>
    <x v="3"/>
    <s v="India"/>
    <x v="1"/>
    <s v="Online"/>
    <s v="Medium"/>
    <d v="2023-04-17T00:00:00"/>
    <n v="353"/>
    <n v="281.27999999999997"/>
    <n v="259.14"/>
    <n v="99291.839999999997"/>
    <n v="7815.4199999999983"/>
  </r>
  <r>
    <s v="ORD0108"/>
    <x v="1"/>
    <s v="India"/>
    <x v="4"/>
    <s v="Offline"/>
    <s v="Low"/>
    <d v="2023-04-18T00:00:00"/>
    <n v="374"/>
    <n v="272.25"/>
    <n v="200.73"/>
    <n v="101821.5"/>
    <n v="26748.48000000001"/>
  </r>
  <r>
    <s v="ORD0109"/>
    <x v="3"/>
    <s v="India"/>
    <x v="0"/>
    <s v="Offline"/>
    <s v="Low"/>
    <d v="2023-04-19T00:00:00"/>
    <n v="172"/>
    <n v="21.92"/>
    <n v="107.88"/>
    <n v="3770.2400000000002"/>
    <n v="-14785.12"/>
  </r>
  <r>
    <s v="ORD0110"/>
    <x v="0"/>
    <s v="UK"/>
    <x v="0"/>
    <s v="Offline"/>
    <s v="Medium"/>
    <d v="2023-04-20T00:00:00"/>
    <n v="335"/>
    <n v="493.41"/>
    <n v="61.4"/>
    <n v="165292.35"/>
    <n v="144723.35"/>
  </r>
  <r>
    <s v="ORD0111"/>
    <x v="1"/>
    <s v="Australia"/>
    <x v="2"/>
    <s v="Online"/>
    <s v="Medium"/>
    <d v="2023-04-21T00:00:00"/>
    <n v="476"/>
    <n v="65.87"/>
    <n v="52.63"/>
    <n v="31354.120000000003"/>
    <n v="6302.2400000000016"/>
  </r>
  <r>
    <s v="ORD0112"/>
    <x v="0"/>
    <s v="USA"/>
    <x v="0"/>
    <s v="Online"/>
    <s v="High"/>
    <d v="2023-04-22T00:00:00"/>
    <n v="423"/>
    <n v="119.41"/>
    <n v="346.13"/>
    <n v="50510.43"/>
    <n v="-95902.56"/>
  </r>
  <r>
    <s v="ORD0113"/>
    <x v="1"/>
    <s v="USA"/>
    <x v="0"/>
    <s v="Online"/>
    <s v="High"/>
    <d v="2023-04-23T00:00:00"/>
    <n v="464"/>
    <n v="30.59"/>
    <n v="98.9"/>
    <n v="14193.76"/>
    <n v="-31695.840000000004"/>
  </r>
  <r>
    <s v="ORD0114"/>
    <x v="3"/>
    <s v="UK"/>
    <x v="0"/>
    <s v="Offline"/>
    <s v="Medium"/>
    <d v="2023-04-24T00:00:00"/>
    <n v="83"/>
    <n v="321.8"/>
    <n v="261.38"/>
    <n v="26709.4"/>
    <n v="5014.8600000000006"/>
  </r>
  <r>
    <s v="ORD0115"/>
    <x v="0"/>
    <s v="USA"/>
    <x v="0"/>
    <s v="Online"/>
    <s v="Low"/>
    <d v="2023-04-25T00:00:00"/>
    <n v="242"/>
    <n v="116.23"/>
    <n v="324.64999999999998"/>
    <n v="28127.66"/>
    <n v="-50437.639999999985"/>
  </r>
  <r>
    <s v="ORD0116"/>
    <x v="1"/>
    <s v="India"/>
    <x v="3"/>
    <s v="Offline"/>
    <s v="Low"/>
    <d v="2023-04-26T00:00:00"/>
    <n v="233"/>
    <n v="94.11"/>
    <n v="246.4"/>
    <n v="21927.63"/>
    <n v="-35483.570000000007"/>
  </r>
  <r>
    <s v="ORD0117"/>
    <x v="2"/>
    <s v="Australia"/>
    <x v="3"/>
    <s v="Offline"/>
    <s v="Low"/>
    <d v="2023-04-27T00:00:00"/>
    <n v="491"/>
    <n v="48.84"/>
    <n v="344.11"/>
    <n v="23980.440000000002"/>
    <n v="-144977.57"/>
  </r>
  <r>
    <s v="ORD0118"/>
    <x v="1"/>
    <s v="Germany"/>
    <x v="2"/>
    <s v="Offline"/>
    <s v="Low"/>
    <d v="2023-04-28T00:00:00"/>
    <n v="328"/>
    <n v="56.14"/>
    <n v="158.16999999999999"/>
    <n v="18413.920000000002"/>
    <n v="-33465.839999999997"/>
  </r>
  <r>
    <s v="ORD0119"/>
    <x v="1"/>
    <s v="USA"/>
    <x v="4"/>
    <s v="Offline"/>
    <s v="High"/>
    <d v="2023-04-29T00:00:00"/>
    <n v="421"/>
    <n v="294.41000000000003"/>
    <n v="382.58"/>
    <n v="123946.61000000002"/>
    <n v="-37119.569999999978"/>
  </r>
  <r>
    <s v="ORD0120"/>
    <x v="2"/>
    <s v="India"/>
    <x v="0"/>
    <s v="Offline"/>
    <s v="Medium"/>
    <d v="2023-04-30T00:00:00"/>
    <n v="69"/>
    <n v="345.66"/>
    <n v="54.99"/>
    <n v="23850.54"/>
    <n v="20056.23"/>
  </r>
  <r>
    <s v="ORD0121"/>
    <x v="1"/>
    <s v="Germany"/>
    <x v="4"/>
    <s v="Offline"/>
    <s v="Low"/>
    <d v="2023-05-01T00:00:00"/>
    <n v="344"/>
    <n v="201.7"/>
    <n v="42.66"/>
    <n v="69384.800000000003"/>
    <n v="54709.760000000002"/>
  </r>
  <r>
    <s v="ORD0122"/>
    <x v="1"/>
    <s v="Australia"/>
    <x v="4"/>
    <s v="Online"/>
    <s v="High"/>
    <d v="2023-05-02T00:00:00"/>
    <n v="231"/>
    <n v="242.55"/>
    <n v="264.16000000000003"/>
    <n v="56029.05"/>
    <n v="-4991.9100000000035"/>
  </r>
  <r>
    <s v="ORD0123"/>
    <x v="3"/>
    <s v="Germany"/>
    <x v="2"/>
    <s v="Online"/>
    <s v="Low"/>
    <d v="2023-05-03T00:00:00"/>
    <n v="46"/>
    <n v="344.55"/>
    <n v="377.25"/>
    <n v="15849.300000000001"/>
    <n v="-1504.1999999999989"/>
  </r>
  <r>
    <s v="ORD0124"/>
    <x v="0"/>
    <s v="India"/>
    <x v="0"/>
    <s v="Offline"/>
    <s v="Medium"/>
    <d v="2023-05-04T00:00:00"/>
    <n v="486"/>
    <n v="13.6"/>
    <n v="323.94"/>
    <n v="6609.5999999999995"/>
    <n v="-150825.24"/>
  </r>
  <r>
    <s v="ORD0125"/>
    <x v="2"/>
    <s v="Germany"/>
    <x v="0"/>
    <s v="Offline"/>
    <s v="High"/>
    <d v="2023-05-05T00:00:00"/>
    <n v="287"/>
    <n v="164.95"/>
    <n v="32.409999999999997"/>
    <n v="47340.649999999994"/>
    <n v="38038.979999999996"/>
  </r>
  <r>
    <s v="ORD0126"/>
    <x v="1"/>
    <s v="UK"/>
    <x v="1"/>
    <s v="Online"/>
    <s v="Medium"/>
    <d v="2023-05-06T00:00:00"/>
    <n v="205"/>
    <n v="486.68"/>
    <n v="113.19"/>
    <n v="99769.4"/>
    <n v="76565.45"/>
  </r>
  <r>
    <s v="ORD0127"/>
    <x v="3"/>
    <s v="Germany"/>
    <x v="4"/>
    <s v="Offline"/>
    <s v="Medium"/>
    <d v="2023-05-07T00:00:00"/>
    <n v="413"/>
    <n v="292.16000000000003"/>
    <n v="372.27"/>
    <n v="120662.08000000002"/>
    <n v="-33085.429999999964"/>
  </r>
  <r>
    <s v="ORD0128"/>
    <x v="2"/>
    <s v="USA"/>
    <x v="4"/>
    <s v="Offline"/>
    <s v="High"/>
    <d v="2023-05-08T00:00:00"/>
    <n v="361"/>
    <n v="130.84"/>
    <n v="102.72"/>
    <n v="47233.24"/>
    <n v="10151.32"/>
  </r>
  <r>
    <s v="ORD0129"/>
    <x v="1"/>
    <s v="USA"/>
    <x v="3"/>
    <s v="Online"/>
    <s v="High"/>
    <d v="2023-05-09T00:00:00"/>
    <n v="493"/>
    <n v="263.26"/>
    <n v="312.91000000000003"/>
    <n v="129787.18"/>
    <n v="-24477.450000000012"/>
  </r>
  <r>
    <s v="ORD0130"/>
    <x v="1"/>
    <s v="UK"/>
    <x v="1"/>
    <s v="Offline"/>
    <s v="High"/>
    <d v="2023-05-10T00:00:00"/>
    <n v="251"/>
    <n v="174.61"/>
    <n v="330.4"/>
    <n v="43827.11"/>
    <n v="-39103.289999999994"/>
  </r>
  <r>
    <s v="ORD0131"/>
    <x v="1"/>
    <s v="India"/>
    <x v="3"/>
    <s v="Offline"/>
    <s v="High"/>
    <d v="2023-05-11T00:00:00"/>
    <n v="255.90294117647059"/>
    <n v="268.45999999999998"/>
    <n v="199.19"/>
    <n v="68699.703588235294"/>
    <n v="17726.396735294118"/>
  </r>
  <r>
    <s v="ORD0132"/>
    <x v="2"/>
    <s v="USA"/>
    <x v="3"/>
    <s v="Offline"/>
    <s v="High"/>
    <d v="2023-05-12T00:00:00"/>
    <n v="228"/>
    <n v="67.239999999999995"/>
    <n v="155.77000000000001"/>
    <n v="15330.72"/>
    <n v="-20184.840000000004"/>
  </r>
  <r>
    <s v="ORD0133"/>
    <x v="2"/>
    <s v="Australia"/>
    <x v="3"/>
    <s v="Online"/>
    <s v="High"/>
    <d v="2023-05-13T00:00:00"/>
    <n v="201"/>
    <n v="70.69"/>
    <n v="181.15"/>
    <n v="14208.689999999999"/>
    <n v="-22202.460000000003"/>
  </r>
  <r>
    <s v="ORD0134"/>
    <x v="2"/>
    <s v="USA"/>
    <x v="2"/>
    <s v="Online"/>
    <s v="High"/>
    <d v="2023-05-14T00:00:00"/>
    <n v="26"/>
    <n v="76.05"/>
    <n v="92.33"/>
    <n v="1977.3"/>
    <n v="-423.28"/>
  </r>
  <r>
    <s v="ORD0135"/>
    <x v="0"/>
    <s v="USA"/>
    <x v="2"/>
    <s v="Online"/>
    <s v="Low"/>
    <d v="2023-05-15T00:00:00"/>
    <n v="21"/>
    <n v="470.21"/>
    <n v="355.98"/>
    <n v="9874.41"/>
    <n v="2398.83"/>
  </r>
  <r>
    <s v="ORD0136"/>
    <x v="2"/>
    <s v="India"/>
    <x v="3"/>
    <s v="Offline"/>
    <s v="Medium"/>
    <d v="2023-05-16T00:00:00"/>
    <n v="415"/>
    <n v="367.78"/>
    <n v="181.35"/>
    <n v="152628.69999999998"/>
    <n v="77368.449999999983"/>
  </r>
  <r>
    <s v="ORD0137"/>
    <x v="2"/>
    <s v="Germany"/>
    <x v="1"/>
    <s v="Offline"/>
    <s v="High"/>
    <d v="2023-05-17T00:00:00"/>
    <n v="410"/>
    <n v="85.38"/>
    <n v="353.22"/>
    <n v="35005.799999999996"/>
    <n v="-109814.40000000002"/>
  </r>
  <r>
    <s v="ORD0138"/>
    <x v="2"/>
    <s v="USA"/>
    <x v="4"/>
    <s v="Online"/>
    <s v="Low"/>
    <d v="2023-05-18T00:00:00"/>
    <n v="403"/>
    <n v="98.23"/>
    <n v="44.07"/>
    <n v="39586.69"/>
    <n v="21826.480000000003"/>
  </r>
  <r>
    <s v="ORD0139"/>
    <x v="0"/>
    <s v="UK"/>
    <x v="1"/>
    <s v="Offline"/>
    <s v="Low"/>
    <d v="2023-05-19T00:00:00"/>
    <n v="383"/>
    <n v="366.76"/>
    <n v="395.33"/>
    <n v="140469.07999999999"/>
    <n v="-10942.309999999998"/>
  </r>
  <r>
    <s v="ORD0140"/>
    <x v="2"/>
    <s v="Germany"/>
    <x v="0"/>
    <s v="Offline"/>
    <s v="Low"/>
    <d v="2023-05-20T00:00:00"/>
    <n v="202"/>
    <n v="82.3"/>
    <n v="178.42"/>
    <n v="16624.599999999999"/>
    <n v="-19416.239999999998"/>
  </r>
  <r>
    <s v="ORD0141"/>
    <x v="1"/>
    <s v="Australia"/>
    <x v="2"/>
    <s v="Offline"/>
    <s v="Medium"/>
    <d v="2023-05-21T00:00:00"/>
    <n v="31"/>
    <n v="121.11"/>
    <n v="21.04"/>
    <n v="3754.41"/>
    <n v="3102.17"/>
  </r>
  <r>
    <s v="ORD0142"/>
    <x v="2"/>
    <s v="India"/>
    <x v="4"/>
    <s v="Offline"/>
    <s v="High"/>
    <d v="2023-05-22T00:00:00"/>
    <n v="483"/>
    <n v="481.86"/>
    <n v="17.13"/>
    <n v="232738.38"/>
    <n v="224464.59"/>
  </r>
  <r>
    <s v="ORD0143"/>
    <x v="1"/>
    <s v="Australia"/>
    <x v="4"/>
    <s v="Offline"/>
    <s v="Low"/>
    <d v="2023-05-23T00:00:00"/>
    <n v="129"/>
    <n v="131.38"/>
    <n v="298.99"/>
    <n v="16948.02"/>
    <n v="-21621.69"/>
  </r>
  <r>
    <s v="ORD0144"/>
    <x v="1"/>
    <s v="Germany"/>
    <x v="0"/>
    <s v="Online"/>
    <s v="Medium"/>
    <d v="2023-05-24T00:00:00"/>
    <n v="219"/>
    <n v="332.51"/>
    <n v="264.3"/>
    <n v="72819.69"/>
    <n v="14937.989999999998"/>
  </r>
  <r>
    <s v="ORD0145"/>
    <x v="1"/>
    <s v="Germany"/>
    <x v="0"/>
    <s v="Offline"/>
    <s v="Medium"/>
    <d v="2023-05-25T00:00:00"/>
    <n v="315"/>
    <n v="489.42"/>
    <n v="321.25"/>
    <n v="154167.30000000002"/>
    <n v="52973.550000000017"/>
  </r>
  <r>
    <s v="ORD0146"/>
    <x v="0"/>
    <s v="Germany"/>
    <x v="3"/>
    <s v="Online"/>
    <s v="Medium"/>
    <d v="2023-05-26T00:00:00"/>
    <n v="279"/>
    <n v="190.28"/>
    <n v="43.94"/>
    <n v="53088.12"/>
    <n v="40828.86"/>
  </r>
  <r>
    <s v="ORD0147"/>
    <x v="0"/>
    <s v="Australia"/>
    <x v="2"/>
    <s v="Offline"/>
    <s v="Low"/>
    <d v="2023-05-27T00:00:00"/>
    <n v="201"/>
    <n v="13.67"/>
    <n v="16.16"/>
    <n v="2747.67"/>
    <n v="-500.48999999999978"/>
  </r>
  <r>
    <s v="ORD0148"/>
    <x v="0"/>
    <s v="Germany"/>
    <x v="2"/>
    <s v="Online"/>
    <s v="High"/>
    <d v="2023-05-28T00:00:00"/>
    <n v="184"/>
    <n v="125.85"/>
    <n v="204.41"/>
    <n v="23156.399999999998"/>
    <n v="-14455.040000000005"/>
  </r>
  <r>
    <s v="ORD0149"/>
    <x v="2"/>
    <s v="Australia"/>
    <x v="1"/>
    <s v="Offline"/>
    <s v="Low"/>
    <d v="2023-05-29T00:00:00"/>
    <n v="294"/>
    <n v="416.28"/>
    <n v="156.26"/>
    <n v="122386.31999999999"/>
    <n v="76445.88"/>
  </r>
  <r>
    <s v="ORD0150"/>
    <x v="1"/>
    <s v="Germany"/>
    <x v="3"/>
    <s v="Online"/>
    <s v="Low"/>
    <d v="2023-05-30T00:00:00"/>
    <n v="213"/>
    <n v="432.98"/>
    <n v="185.85"/>
    <n v="92224.74"/>
    <n v="52638.69000000001"/>
  </r>
  <r>
    <s v="ORD0151"/>
    <x v="0"/>
    <s v="UK"/>
    <x v="3"/>
    <s v="Offline"/>
    <s v="High"/>
    <d v="2023-05-31T00:00:00"/>
    <n v="173"/>
    <n v="385.42"/>
    <n v="396.65"/>
    <n v="66677.66"/>
    <n v="-1942.7899999999936"/>
  </r>
  <r>
    <s v="ORD0152"/>
    <x v="0"/>
    <s v="Germany"/>
    <x v="3"/>
    <s v="Online"/>
    <s v="High"/>
    <d v="2023-06-01T00:00:00"/>
    <n v="260"/>
    <n v="60.99"/>
    <n v="388.36"/>
    <n v="15857.4"/>
    <n v="-85116.200000000012"/>
  </r>
  <r>
    <s v="ORD0153"/>
    <x v="2"/>
    <s v="Australia"/>
    <x v="3"/>
    <s v="Offline"/>
    <s v="High"/>
    <d v="2023-06-02T00:00:00"/>
    <n v="236"/>
    <n v="398.78"/>
    <n v="377.04"/>
    <n v="94112.079999999987"/>
    <n v="5130.6399999999849"/>
  </r>
  <r>
    <s v="ORD0154"/>
    <x v="0"/>
    <s v="USA"/>
    <x v="2"/>
    <s v="Online"/>
    <s v="Medium"/>
    <d v="2023-06-03T00:00:00"/>
    <n v="445"/>
    <n v="459.75"/>
    <n v="313.97000000000003"/>
    <n v="204588.75"/>
    <n v="64872.099999999977"/>
  </r>
  <r>
    <s v="ORD0155"/>
    <x v="2"/>
    <s v="Germany"/>
    <x v="2"/>
    <s v="Offline"/>
    <s v="High"/>
    <d v="2023-06-04T00:00:00"/>
    <n v="390"/>
    <n v="302.3"/>
    <n v="143.22999999999999"/>
    <n v="117897"/>
    <n v="62037.3"/>
  </r>
  <r>
    <s v="ORD0156"/>
    <x v="3"/>
    <s v="USA"/>
    <x v="3"/>
    <s v="Online"/>
    <s v="Low"/>
    <d v="2023-06-05T00:00:00"/>
    <n v="469"/>
    <n v="470.73"/>
    <n v="166.03"/>
    <n v="220772.37"/>
    <n v="142904.29999999999"/>
  </r>
  <r>
    <s v="ORD0157"/>
    <x v="0"/>
    <s v="UK"/>
    <x v="1"/>
    <s v="Online"/>
    <s v="High"/>
    <d v="2023-06-06T00:00:00"/>
    <n v="16"/>
    <n v="249.64520588235297"/>
    <n v="220.75"/>
    <n v="3994.3232941176475"/>
    <n v="462.32329411764749"/>
  </r>
  <r>
    <s v="ORD0158"/>
    <x v="3"/>
    <s v="India"/>
    <x v="4"/>
    <s v="Offline"/>
    <s v="Low"/>
    <d v="2023-06-07T00:00:00"/>
    <n v="38"/>
    <n v="335.15"/>
    <n v="332.55"/>
    <n v="12735.699999999999"/>
    <n v="98.799999999999272"/>
  </r>
  <r>
    <s v="ORD0159"/>
    <x v="2"/>
    <s v="UK"/>
    <x v="5"/>
    <s v="Offline"/>
    <s v="Medium"/>
    <d v="2023-06-08T00:00:00"/>
    <n v="404"/>
    <n v="290.70999999999998"/>
    <n v="29.35"/>
    <n v="117446.84"/>
    <n v="105589.44"/>
  </r>
  <r>
    <s v="ORD0160"/>
    <x v="1"/>
    <s v="Germany"/>
    <x v="1"/>
    <s v="Online"/>
    <s v="Low"/>
    <d v="2023-06-09T00:00:00"/>
    <n v="42"/>
    <n v="177.54"/>
    <n v="170.87"/>
    <n v="7456.6799999999994"/>
    <n v="280.13999999999942"/>
  </r>
  <r>
    <s v="ORD0161"/>
    <x v="0"/>
    <s v="USA"/>
    <x v="3"/>
    <s v="Offline"/>
    <s v="Low"/>
    <d v="2023-06-10T00:00:00"/>
    <n v="143"/>
    <n v="83.85"/>
    <n v="34.880000000000003"/>
    <n v="11990.55"/>
    <n v="7002.7099999999991"/>
  </r>
  <r>
    <s v="ORD0162"/>
    <x v="2"/>
    <s v="USA"/>
    <x v="2"/>
    <s v="Online"/>
    <s v="High"/>
    <d v="2023-06-11T00:00:00"/>
    <n v="376"/>
    <n v="304.45"/>
    <n v="206.83"/>
    <n v="114473.2"/>
    <n v="36705.119999999995"/>
  </r>
  <r>
    <s v="ORD0163"/>
    <x v="1"/>
    <s v="Australia"/>
    <x v="4"/>
    <s v="Online"/>
    <s v="High"/>
    <d v="2023-06-12T00:00:00"/>
    <n v="88"/>
    <n v="162.47"/>
    <n v="359.76"/>
    <n v="14297.36"/>
    <n v="-17361.519999999997"/>
  </r>
  <r>
    <s v="ORD0164"/>
    <x v="1"/>
    <s v="USA"/>
    <x v="0"/>
    <s v="Online"/>
    <s v="Low"/>
    <d v="2023-06-13T00:00:00"/>
    <n v="425"/>
    <n v="433.89"/>
    <n v="313.43"/>
    <n v="184403.25"/>
    <n v="51195.5"/>
  </r>
  <r>
    <s v="ORD0165"/>
    <x v="3"/>
    <s v="Australia"/>
    <x v="0"/>
    <s v="Offline"/>
    <s v="High"/>
    <d v="2023-06-14T00:00:00"/>
    <n v="444"/>
    <n v="496.7"/>
    <n v="92.68"/>
    <n v="220534.8"/>
    <n v="179384.87999999998"/>
  </r>
  <r>
    <s v="ORD0166"/>
    <x v="2"/>
    <s v="India"/>
    <x v="1"/>
    <s v="Online"/>
    <s v="Medium"/>
    <d v="2023-06-15T00:00:00"/>
    <n v="468"/>
    <n v="377.45"/>
    <n v="390.44"/>
    <n v="176646.6"/>
    <n v="-6079.320000000007"/>
  </r>
  <r>
    <s v="ORD0167"/>
    <x v="1"/>
    <s v="Germany"/>
    <x v="3"/>
    <s v="Online"/>
    <s v="Medium"/>
    <d v="2023-06-16T00:00:00"/>
    <n v="67"/>
    <n v="49.79"/>
    <n v="267.61"/>
    <n v="3335.93"/>
    <n v="-14593.940000000002"/>
  </r>
  <r>
    <s v="ORD0168"/>
    <x v="0"/>
    <s v="Australia"/>
    <x v="4"/>
    <s v="Offline"/>
    <s v="High"/>
    <d v="2023-06-17T00:00:00"/>
    <n v="480"/>
    <n v="147.9"/>
    <n v="6.15"/>
    <n v="70992"/>
    <n v="68040"/>
  </r>
  <r>
    <s v="ORD0169"/>
    <x v="0"/>
    <s v="India"/>
    <x v="3"/>
    <s v="Offline"/>
    <s v="Medium"/>
    <d v="2023-06-18T00:00:00"/>
    <n v="35"/>
    <n v="59.01"/>
    <n v="103.65"/>
    <n v="2065.35"/>
    <n v="-1562.4"/>
  </r>
  <r>
    <s v="ORD0170"/>
    <x v="3"/>
    <s v="USA"/>
    <x v="4"/>
    <s v="Offline"/>
    <s v="High"/>
    <d v="2023-06-19T00:00:00"/>
    <n v="491"/>
    <n v="327"/>
    <n v="105.76"/>
    <n v="160557"/>
    <n v="108628.84"/>
  </r>
  <r>
    <s v="ORD0171"/>
    <x v="1"/>
    <s v="USA"/>
    <x v="1"/>
    <s v="Offline"/>
    <s v="Low"/>
    <d v="2023-06-20T00:00:00"/>
    <n v="439"/>
    <n v="383.77"/>
    <n v="29.56"/>
    <n v="168475.03"/>
    <n v="155498.19"/>
  </r>
  <r>
    <s v="ORD0172"/>
    <x v="2"/>
    <s v="India"/>
    <x v="1"/>
    <s v="Online"/>
    <s v="Low"/>
    <d v="2023-06-21T00:00:00"/>
    <n v="235"/>
    <n v="463.21"/>
    <n v="384.01"/>
    <n v="108854.34999999999"/>
    <n v="18612"/>
  </r>
  <r>
    <s v="ORD0173"/>
    <x v="0"/>
    <s v="USA"/>
    <x v="0"/>
    <s v="Online"/>
    <s v="Medium"/>
    <d v="2023-06-22T00:00:00"/>
    <n v="294"/>
    <n v="221.9"/>
    <n v="192.35"/>
    <n v="65238.6"/>
    <n v="8687.6999999999971"/>
  </r>
  <r>
    <s v="ORD0174"/>
    <x v="1"/>
    <s v="India"/>
    <x v="3"/>
    <s v="Online"/>
    <s v="High"/>
    <d v="2023-06-23T00:00:00"/>
    <n v="13"/>
    <n v="451.18"/>
    <n v="358.53"/>
    <n v="5865.34"/>
    <n v="1204.4500000000007"/>
  </r>
  <r>
    <s v="ORD0175"/>
    <x v="1"/>
    <s v="Australia"/>
    <x v="0"/>
    <s v="Online"/>
    <s v="High"/>
    <d v="2023-06-24T00:00:00"/>
    <n v="474"/>
    <n v="439.56"/>
    <n v="130.24"/>
    <n v="208351.44"/>
    <n v="146617.68"/>
  </r>
  <r>
    <s v="ORD0176"/>
    <x v="3"/>
    <s v="Australia"/>
    <x v="3"/>
    <s v="Offline"/>
    <s v="Medium"/>
    <d v="2023-06-25T00:00:00"/>
    <n v="108"/>
    <n v="162.01"/>
    <n v="51.84"/>
    <n v="17497.079999999998"/>
    <n v="11898.359999999997"/>
  </r>
  <r>
    <s v="ORD0177"/>
    <x v="0"/>
    <s v="India"/>
    <x v="0"/>
    <s v="Online"/>
    <s v="Low"/>
    <d v="2023-06-26T00:00:00"/>
    <n v="406"/>
    <n v="435.11"/>
    <n v="190.79"/>
    <n v="176654.66"/>
    <n v="99193.920000000013"/>
  </r>
  <r>
    <s v="ORD0178"/>
    <x v="0"/>
    <s v="Australia"/>
    <x v="2"/>
    <s v="Online"/>
    <s v="Medium"/>
    <d v="2023-06-27T00:00:00"/>
    <n v="498"/>
    <n v="190.96"/>
    <n v="47.35"/>
    <n v="95098.08"/>
    <n v="71517.78"/>
  </r>
  <r>
    <s v="ORD0179"/>
    <x v="2"/>
    <s v="Australia"/>
    <x v="2"/>
    <s v="Offline"/>
    <s v="Low"/>
    <d v="2023-06-28T00:00:00"/>
    <n v="48"/>
    <n v="151.94999999999999"/>
    <n v="195.43"/>
    <n v="7293.5999999999995"/>
    <n v="-2087.04"/>
  </r>
  <r>
    <s v="ORD0180"/>
    <x v="0"/>
    <s v="Australia"/>
    <x v="2"/>
    <s v="Online"/>
    <s v="High"/>
    <d v="2023-06-29T00:00:00"/>
    <n v="280"/>
    <n v="326.29000000000002"/>
    <n v="368.28"/>
    <n v="91361.200000000012"/>
    <n v="-11757.199999999983"/>
  </r>
  <r>
    <s v="ORD0181"/>
    <x v="2"/>
    <s v="UK"/>
    <x v="2"/>
    <s v="Online"/>
    <s v="Low"/>
    <d v="2023-06-30T00:00:00"/>
    <n v="384"/>
    <n v="167.55"/>
    <n v="209.27"/>
    <n v="64339.200000000004"/>
    <n v="-16020.480000000003"/>
  </r>
  <r>
    <s v="ORD0182"/>
    <x v="0"/>
    <s v="Germany"/>
    <x v="4"/>
    <s v="Online"/>
    <s v="Medium"/>
    <d v="2023-07-01T00:00:00"/>
    <n v="294"/>
    <n v="316.95"/>
    <n v="247.37"/>
    <n v="93183.3"/>
    <n v="20456.520000000004"/>
  </r>
  <r>
    <s v="ORD0183"/>
    <x v="3"/>
    <s v="USA"/>
    <x v="2"/>
    <s v="Online"/>
    <s v="High"/>
    <d v="2023-07-02T00:00:00"/>
    <n v="166"/>
    <n v="306.87"/>
    <n v="64.34"/>
    <n v="50940.42"/>
    <n v="40259.979999999996"/>
  </r>
  <r>
    <s v="ORD0184"/>
    <x v="0"/>
    <s v="UK"/>
    <x v="1"/>
    <s v="Online"/>
    <s v="Medium"/>
    <d v="2023-07-03T00:00:00"/>
    <n v="84"/>
    <n v="283.89999999999998"/>
    <n v="19.41"/>
    <n v="23847.599999999999"/>
    <n v="22217.16"/>
  </r>
  <r>
    <s v="ORD0185"/>
    <x v="2"/>
    <s v="Australia"/>
    <x v="1"/>
    <s v="Online"/>
    <s v="Medium"/>
    <d v="2023-07-04T00:00:00"/>
    <n v="381"/>
    <n v="193.31"/>
    <n v="46.1"/>
    <n v="73651.11"/>
    <n v="56087.009999999995"/>
  </r>
  <r>
    <s v="ORD0186"/>
    <x v="2"/>
    <s v="India"/>
    <x v="4"/>
    <s v="Offline"/>
    <s v="Low"/>
    <d v="2023-07-05T00:00:00"/>
    <n v="297"/>
    <n v="276.51"/>
    <n v="240.22"/>
    <n v="82123.47"/>
    <n v="10778.130000000005"/>
  </r>
  <r>
    <s v="ORD0187"/>
    <x v="3"/>
    <s v="Australia"/>
    <x v="2"/>
    <s v="Offline"/>
    <s v="Medium"/>
    <d v="2023-07-06T00:00:00"/>
    <n v="139"/>
    <n v="300.26"/>
    <n v="39.81"/>
    <n v="41736.14"/>
    <n v="36202.550000000003"/>
  </r>
  <r>
    <s v="ORD0188"/>
    <x v="0"/>
    <s v="Germany"/>
    <x v="2"/>
    <s v="Online"/>
    <s v="Low"/>
    <d v="2023-07-07T00:00:00"/>
    <n v="184"/>
    <n v="275.12"/>
    <n v="151.65"/>
    <n v="50622.080000000002"/>
    <n v="22718.48"/>
  </r>
  <r>
    <s v="ORD0189"/>
    <x v="0"/>
    <s v="Australia"/>
    <x v="2"/>
    <s v="Online"/>
    <s v="High"/>
    <d v="2023-07-08T00:00:00"/>
    <n v="471"/>
    <n v="224.99"/>
    <n v="220.94"/>
    <n v="105970.29000000001"/>
    <n v="1907.5500000000029"/>
  </r>
  <r>
    <s v="ORD0190"/>
    <x v="3"/>
    <s v="India"/>
    <x v="0"/>
    <s v="Offline"/>
    <s v="Low"/>
    <d v="2023-07-09T00:00:00"/>
    <n v="93"/>
    <n v="12.26"/>
    <n v="156.68"/>
    <n v="1140.18"/>
    <n v="-13431.06"/>
  </r>
  <r>
    <s v="ORD0191"/>
    <x v="0"/>
    <s v="Germany"/>
    <x v="3"/>
    <s v="Online"/>
    <s v="High"/>
    <d v="2023-07-10T00:00:00"/>
    <n v="31"/>
    <n v="295.60000000000002"/>
    <n v="67.150000000000006"/>
    <n v="9163.6"/>
    <n v="7081.9500000000007"/>
  </r>
  <r>
    <s v="ORD0192"/>
    <x v="0"/>
    <s v="Australia"/>
    <x v="0"/>
    <s v="Online"/>
    <s v="Low"/>
    <d v="2023-07-11T00:00:00"/>
    <n v="468"/>
    <n v="88.38"/>
    <n v="110.97"/>
    <n v="41361.839999999997"/>
    <n v="-10572.120000000003"/>
  </r>
  <r>
    <s v="ORD0193"/>
    <x v="2"/>
    <s v="Germany"/>
    <x v="3"/>
    <s v="Online"/>
    <s v="Medium"/>
    <d v="2023-07-12T00:00:00"/>
    <n v="36"/>
    <n v="323.08"/>
    <n v="371.47"/>
    <n v="11630.88"/>
    <n v="-1742.0400000000027"/>
  </r>
  <r>
    <s v="ORD0194"/>
    <x v="0"/>
    <s v="USA"/>
    <x v="2"/>
    <s v="Offline"/>
    <s v="Low"/>
    <d v="2023-07-13T00:00:00"/>
    <n v="204"/>
    <n v="380.88"/>
    <n v="271.04000000000002"/>
    <n v="77699.520000000004"/>
    <n v="22407.360000000001"/>
  </r>
  <r>
    <s v="ORD0195"/>
    <x v="0"/>
    <s v="USA"/>
    <x v="2"/>
    <s v="Online"/>
    <s v="Low"/>
    <d v="2023-07-14T00:00:00"/>
    <n v="346"/>
    <n v="252.72"/>
    <n v="199.43"/>
    <n v="87441.12"/>
    <n v="18438.339999999997"/>
  </r>
  <r>
    <s v="ORD0196"/>
    <x v="3"/>
    <s v="Australia"/>
    <x v="0"/>
    <s v="Offline"/>
    <s v="High"/>
    <d v="2023-07-15T00:00:00"/>
    <n v="391"/>
    <n v="273.47000000000003"/>
    <n v="7.06"/>
    <n v="106926.77"/>
    <n v="104166.31"/>
  </r>
  <r>
    <s v="ORD0197"/>
    <x v="3"/>
    <s v="Germany"/>
    <x v="0"/>
    <s v="Online"/>
    <s v="Medium"/>
    <d v="2023-07-16T00:00:00"/>
    <n v="245"/>
    <n v="475.98"/>
    <n v="396.98"/>
    <n v="116615.1"/>
    <n v="19355"/>
  </r>
  <r>
    <s v="ORD0198"/>
    <x v="1"/>
    <s v="India"/>
    <x v="3"/>
    <s v="Offline"/>
    <s v="Low"/>
    <d v="2023-07-17T00:00:00"/>
    <n v="449"/>
    <n v="424.35"/>
    <n v="269.24"/>
    <n v="190533.15000000002"/>
    <n v="69644.390000000014"/>
  </r>
  <r>
    <s v="ORD0199"/>
    <x v="2"/>
    <s v="Australia"/>
    <x v="1"/>
    <s v="Offline"/>
    <s v="Medium"/>
    <d v="2023-07-18T00:00:00"/>
    <n v="101"/>
    <n v="457.55"/>
    <n v="128.13999999999999"/>
    <n v="46212.55"/>
    <n v="33270.410000000003"/>
  </r>
  <r>
    <s v="ORD0200"/>
    <x v="0"/>
    <s v="USA"/>
    <x v="3"/>
    <s v="Online"/>
    <s v="Low"/>
    <d v="2023-07-19T00:00:00"/>
    <n v="255.90294117647059"/>
    <n v="407.81"/>
    <n v="351.95"/>
    <n v="104359.77844117647"/>
    <n v="14294.738294117647"/>
  </r>
  <r>
    <s v="ORD0201"/>
    <x v="0"/>
    <s v="USA"/>
    <x v="0"/>
    <s v="Offline"/>
    <s v="Low"/>
    <d v="2023-07-20T00:00:00"/>
    <n v="30"/>
    <n v="58.91"/>
    <n v="104.86"/>
    <n v="1767.3"/>
    <n v="-1378.5000000000002"/>
  </r>
  <r>
    <s v="ORD0202"/>
    <x v="1"/>
    <s v="Australia"/>
    <x v="0"/>
    <s v="Online"/>
    <s v="Medium"/>
    <d v="2023-07-21T00:00:00"/>
    <n v="312"/>
    <n v="78.75"/>
    <n v="218.52"/>
    <n v="24570"/>
    <n v="-43608.240000000005"/>
  </r>
  <r>
    <s v="ORD0203"/>
    <x v="0"/>
    <s v="Germany"/>
    <x v="4"/>
    <s v="Offline"/>
    <s v="Low"/>
    <d v="2023-07-22T00:00:00"/>
    <n v="473"/>
    <n v="265.68"/>
    <n v="255.16"/>
    <n v="125666.64"/>
    <n v="4975.9600000000064"/>
  </r>
  <r>
    <s v="ORD0204"/>
    <x v="2"/>
    <s v="USA"/>
    <x v="0"/>
    <s v="Online"/>
    <s v="Medium"/>
    <d v="2023-07-23T00:00:00"/>
    <n v="366"/>
    <n v="126.8"/>
    <n v="89.98"/>
    <n v="46408.799999999996"/>
    <n v="13476.119999999995"/>
  </r>
  <r>
    <s v="ORD0205"/>
    <x v="1"/>
    <s v="Germany"/>
    <x v="4"/>
    <s v="Online"/>
    <s v="Low"/>
    <d v="2023-07-24T00:00:00"/>
    <n v="452"/>
    <n v="240.96"/>
    <n v="391.4"/>
    <n v="108913.92"/>
    <n v="-67998.87999999999"/>
  </r>
  <r>
    <s v="ORD0206"/>
    <x v="2"/>
    <s v="USA"/>
    <x v="1"/>
    <s v="Offline"/>
    <s v="High"/>
    <d v="2023-07-25T00:00:00"/>
    <n v="93"/>
    <n v="200.21"/>
    <n v="299.77999999999997"/>
    <n v="18619.530000000002"/>
    <n v="-9260.0099999999948"/>
  </r>
  <r>
    <s v="ORD0207"/>
    <x v="1"/>
    <s v="USA"/>
    <x v="3"/>
    <s v="Online"/>
    <s v="Medium"/>
    <d v="2023-07-26T00:00:00"/>
    <n v="271"/>
    <n v="276.95999999999998"/>
    <n v="224.01"/>
    <n v="75056.159999999989"/>
    <n v="14349.44999999999"/>
  </r>
  <r>
    <s v="ORD0208"/>
    <x v="1"/>
    <s v="UK"/>
    <x v="3"/>
    <s v="Online"/>
    <s v="Low"/>
    <d v="2023-07-27T00:00:00"/>
    <n v="156"/>
    <n v="374.7"/>
    <n v="73.88"/>
    <n v="58453.2"/>
    <n v="46927.92"/>
  </r>
  <r>
    <s v="ORD0209"/>
    <x v="3"/>
    <s v="USA"/>
    <x v="4"/>
    <s v="Offline"/>
    <s v="Low"/>
    <d v="2023-07-28T00:00:00"/>
    <n v="450"/>
    <n v="359.17"/>
    <n v="23.44"/>
    <n v="161626.5"/>
    <n v="151078.5"/>
  </r>
  <r>
    <s v="ORD0210"/>
    <x v="2"/>
    <s v="India"/>
    <x v="3"/>
    <s v="Online"/>
    <s v="High"/>
    <d v="2023-07-29T00:00:00"/>
    <n v="462"/>
    <n v="263.01"/>
    <n v="129.38"/>
    <n v="121510.62"/>
    <n v="61737.06"/>
  </r>
  <r>
    <s v="ORD0211"/>
    <x v="0"/>
    <s v="Australia"/>
    <x v="5"/>
    <s v="Online"/>
    <s v="Medium"/>
    <d v="2023-07-30T00:00:00"/>
    <n v="396"/>
    <n v="412.08"/>
    <n v="301.77"/>
    <n v="163183.67999999999"/>
    <n v="43682.759999999995"/>
  </r>
  <r>
    <s v="ORD0212"/>
    <x v="0"/>
    <s v="Australia"/>
    <x v="2"/>
    <s v="Offline"/>
    <s v="Low"/>
    <d v="2023-07-31T00:00:00"/>
    <n v="266"/>
    <n v="218.28"/>
    <n v="109.19"/>
    <n v="58062.48"/>
    <n v="29017.940000000002"/>
  </r>
  <r>
    <s v="ORD0213"/>
    <x v="2"/>
    <s v="Germany"/>
    <x v="4"/>
    <s v="Offline"/>
    <s v="High"/>
    <d v="2023-08-01T00:00:00"/>
    <n v="67"/>
    <n v="448.87"/>
    <n v="216.74"/>
    <n v="30074.29"/>
    <n v="15552.710000000001"/>
  </r>
  <r>
    <s v="ORD0214"/>
    <x v="0"/>
    <s v="USA"/>
    <x v="3"/>
    <s v="Online"/>
    <s v="Low"/>
    <d v="2023-08-02T00:00:00"/>
    <n v="389"/>
    <n v="40.28"/>
    <n v="291.72000000000003"/>
    <n v="15668.92"/>
    <n v="-97810.160000000018"/>
  </r>
  <r>
    <s v="ORD0215"/>
    <x v="0"/>
    <s v="India"/>
    <x v="4"/>
    <s v="Online"/>
    <s v="Medium"/>
    <d v="2023-08-03T00:00:00"/>
    <n v="431"/>
    <n v="477.56"/>
    <n v="44.96"/>
    <n v="205828.36000000002"/>
    <n v="186450.6"/>
  </r>
  <r>
    <s v="ORD0216"/>
    <x v="2"/>
    <s v="Germany"/>
    <x v="4"/>
    <s v="Offline"/>
    <s v="Low"/>
    <d v="2023-08-04T00:00:00"/>
    <n v="24"/>
    <n v="329.07"/>
    <n v="274.75"/>
    <n v="7897.68"/>
    <n v="1303.6800000000003"/>
  </r>
  <r>
    <s v="ORD0217"/>
    <x v="1"/>
    <s v="UK"/>
    <x v="2"/>
    <s v="Offline"/>
    <s v="Low"/>
    <d v="2023-08-05T00:00:00"/>
    <n v="171"/>
    <n v="193.14"/>
    <n v="38.56"/>
    <n v="33026.939999999995"/>
    <n v="26433.179999999993"/>
  </r>
  <r>
    <s v="ORD0218"/>
    <x v="2"/>
    <s v="Germany"/>
    <x v="0"/>
    <s v="Online"/>
    <s v="Low"/>
    <d v="2023-08-06T00:00:00"/>
    <n v="454"/>
    <n v="102.59"/>
    <n v="386.12"/>
    <n v="46575.86"/>
    <n v="-128722.62000000001"/>
  </r>
  <r>
    <s v="ORD0219"/>
    <x v="1"/>
    <s v="Germany"/>
    <x v="4"/>
    <s v="Offline"/>
    <s v="Low"/>
    <d v="2023-08-07T00:00:00"/>
    <n v="172"/>
    <n v="242.2"/>
    <n v="196.38"/>
    <n v="41658.400000000001"/>
    <n v="7881.0400000000009"/>
  </r>
  <r>
    <s v="ORD0220"/>
    <x v="0"/>
    <s v="USA"/>
    <x v="3"/>
    <s v="Online"/>
    <s v="High"/>
    <d v="2023-08-08T00:00:00"/>
    <n v="329"/>
    <n v="101.31"/>
    <n v="61.97"/>
    <n v="33330.99"/>
    <n v="12942.859999999997"/>
  </r>
  <r>
    <s v="ORD0221"/>
    <x v="0"/>
    <s v="UK"/>
    <x v="1"/>
    <s v="Online"/>
    <s v="High"/>
    <d v="2023-08-09T00:00:00"/>
    <n v="290"/>
    <n v="87.33"/>
    <n v="138.27000000000001"/>
    <n v="25325.7"/>
    <n v="-14772.600000000002"/>
  </r>
  <r>
    <s v="ORD0222"/>
    <x v="1"/>
    <s v="Germany"/>
    <x v="4"/>
    <s v="Online"/>
    <s v="Medium"/>
    <d v="2023-08-10T00:00:00"/>
    <n v="289"/>
    <n v="310.58999999999997"/>
    <n v="166.54"/>
    <n v="89760.51"/>
    <n v="41630.449999999997"/>
  </r>
  <r>
    <s v="ORD0223"/>
    <x v="3"/>
    <s v="India"/>
    <x v="4"/>
    <s v="Online"/>
    <s v="High"/>
    <d v="2023-08-11T00:00:00"/>
    <n v="21"/>
    <n v="263.93"/>
    <n v="303.76"/>
    <n v="5542.53"/>
    <n v="-836.43000000000029"/>
  </r>
  <r>
    <s v="ORD0224"/>
    <x v="1"/>
    <s v="India"/>
    <x v="2"/>
    <s v="Online"/>
    <s v="High"/>
    <d v="2023-08-12T00:00:00"/>
    <n v="283"/>
    <n v="336.7"/>
    <n v="297.88"/>
    <n v="95286.099999999991"/>
    <n v="10986.059999999998"/>
  </r>
  <r>
    <s v="ORD0225"/>
    <x v="3"/>
    <s v="Australia"/>
    <x v="0"/>
    <s v="Offline"/>
    <s v="Medium"/>
    <d v="2023-08-13T00:00:00"/>
    <n v="280"/>
    <n v="465.15"/>
    <n v="245.55"/>
    <n v="130242"/>
    <n v="61488"/>
  </r>
  <r>
    <s v="ORD0226"/>
    <x v="3"/>
    <s v="UK"/>
    <x v="1"/>
    <s v="Offline"/>
    <s v="High"/>
    <d v="2023-08-14T00:00:00"/>
    <n v="217"/>
    <n v="268.47000000000003"/>
    <n v="44.16"/>
    <n v="58257.990000000005"/>
    <n v="48675.270000000004"/>
  </r>
  <r>
    <s v="ORD0227"/>
    <x v="2"/>
    <s v="UK"/>
    <x v="3"/>
    <s v="Offline"/>
    <s v="High"/>
    <d v="2023-08-15T00:00:00"/>
    <n v="36"/>
    <n v="292.56"/>
    <n v="62.32"/>
    <n v="10532.16"/>
    <n v="8288.64"/>
  </r>
  <r>
    <s v="ORD0228"/>
    <x v="3"/>
    <s v="Australia"/>
    <x v="1"/>
    <s v="Offline"/>
    <s v="Medium"/>
    <d v="2023-08-16T00:00:00"/>
    <n v="255.90294117647059"/>
    <n v="49.37"/>
    <n v="39.32"/>
    <n v="12633.928205882352"/>
    <n v="2571.8245588235277"/>
  </r>
  <r>
    <s v="ORD0229"/>
    <x v="2"/>
    <s v="Germany"/>
    <x v="3"/>
    <s v="Online"/>
    <s v="Medium"/>
    <d v="2023-08-17T00:00:00"/>
    <n v="69"/>
    <n v="360.23"/>
    <n v="231.71"/>
    <n v="24855.870000000003"/>
    <n v="8867.8800000000028"/>
  </r>
  <r>
    <s v="ORD0230"/>
    <x v="2"/>
    <s v="UK"/>
    <x v="0"/>
    <s v="Online"/>
    <s v="Medium"/>
    <d v="2023-08-18T00:00:00"/>
    <n v="439"/>
    <n v="202.95"/>
    <n v="351.1"/>
    <n v="89095.049999999988"/>
    <n v="-65037.850000000035"/>
  </r>
  <r>
    <s v="ORD0231"/>
    <x v="3"/>
    <s v="India"/>
    <x v="3"/>
    <s v="Online"/>
    <s v="Low"/>
    <d v="2023-08-19T00:00:00"/>
    <n v="482"/>
    <n v="488.48"/>
    <n v="174.65"/>
    <n v="235447.36000000002"/>
    <n v="151266.06"/>
  </r>
  <r>
    <s v="ORD0232"/>
    <x v="1"/>
    <s v="India"/>
    <x v="2"/>
    <s v="Online"/>
    <s v="Low"/>
    <d v="2023-08-20T00:00:00"/>
    <n v="154"/>
    <n v="412.47"/>
    <n v="66.02"/>
    <n v="63520.380000000005"/>
    <n v="53353.3"/>
  </r>
  <r>
    <s v="ORD0233"/>
    <x v="1"/>
    <s v="USA"/>
    <x v="2"/>
    <s v="Offline"/>
    <s v="Medium"/>
    <d v="2023-08-21T00:00:00"/>
    <n v="102"/>
    <n v="263.63"/>
    <n v="224.1"/>
    <n v="26890.26"/>
    <n v="4032.0599999999977"/>
  </r>
  <r>
    <s v="ORD0234"/>
    <x v="1"/>
    <s v="UK"/>
    <x v="2"/>
    <s v="Online"/>
    <s v="Medium"/>
    <d v="2023-08-22T00:00:00"/>
    <n v="318"/>
    <n v="66"/>
    <n v="325.08"/>
    <n v="20988"/>
    <n v="-82387.439999999988"/>
  </r>
  <r>
    <s v="ORD0235"/>
    <x v="1"/>
    <s v="Germany"/>
    <x v="2"/>
    <s v="Online"/>
    <s v="Medium"/>
    <d v="2023-08-23T00:00:00"/>
    <n v="17"/>
    <n v="430.41"/>
    <n v="297.2"/>
    <n v="7316.97"/>
    <n v="2264.5700000000006"/>
  </r>
  <r>
    <s v="ORD0236"/>
    <x v="1"/>
    <s v="Australia"/>
    <x v="1"/>
    <s v="Offline"/>
    <s v="Low"/>
    <d v="2023-08-24T00:00:00"/>
    <n v="88"/>
    <n v="400.89"/>
    <n v="352.82"/>
    <n v="35278.32"/>
    <n v="4230.16"/>
  </r>
  <r>
    <s v="ORD0237"/>
    <x v="3"/>
    <s v="Australia"/>
    <x v="0"/>
    <s v="Offline"/>
    <s v="Low"/>
    <d v="2023-08-25T00:00:00"/>
    <n v="36"/>
    <n v="96.37"/>
    <n v="112.61"/>
    <n v="3469.32"/>
    <n v="-584.63999999999987"/>
  </r>
  <r>
    <s v="ORD0238"/>
    <x v="3"/>
    <s v="Germany"/>
    <x v="3"/>
    <s v="Offline"/>
    <s v="High"/>
    <d v="2023-08-26T00:00:00"/>
    <n v="183"/>
    <n v="151.16"/>
    <n v="79.19"/>
    <n v="27662.28"/>
    <n v="13170.509999999998"/>
  </r>
  <r>
    <s v="ORD0239"/>
    <x v="0"/>
    <s v="USA"/>
    <x v="3"/>
    <s v="Offline"/>
    <s v="High"/>
    <d v="2023-08-27T00:00:00"/>
    <n v="59"/>
    <n v="397.74"/>
    <n v="352.17"/>
    <n v="23466.66"/>
    <n v="2688.6299999999974"/>
  </r>
  <r>
    <s v="ORD0240"/>
    <x v="1"/>
    <s v="Australia"/>
    <x v="2"/>
    <s v="Online"/>
    <s v="Medium"/>
    <d v="2023-08-28T00:00:00"/>
    <n v="208"/>
    <n v="96.69"/>
    <n v="263.70999999999998"/>
    <n v="20111.52"/>
    <n v="-34740.159999999989"/>
  </r>
  <r>
    <s v="ORD0241"/>
    <x v="3"/>
    <s v="UK"/>
    <x v="2"/>
    <s v="Online"/>
    <s v="Low"/>
    <d v="2023-08-29T00:00:00"/>
    <n v="396"/>
    <n v="459.29"/>
    <n v="125.75"/>
    <n v="181878.84"/>
    <n v="132081.84"/>
  </r>
  <r>
    <s v="ORD0242"/>
    <x v="0"/>
    <s v="USA"/>
    <x v="4"/>
    <s v="Offline"/>
    <s v="Low"/>
    <d v="2023-08-30T00:00:00"/>
    <n v="358"/>
    <n v="215.14"/>
    <n v="297.45"/>
    <n v="77020.12"/>
    <n v="-29466.979999999996"/>
  </r>
  <r>
    <s v="ORD0243"/>
    <x v="1"/>
    <s v="UK"/>
    <x v="0"/>
    <s v="Online"/>
    <s v="Low"/>
    <d v="2023-08-31T00:00:00"/>
    <n v="457"/>
    <n v="48.08"/>
    <n v="326.42"/>
    <n v="21972.559999999998"/>
    <n v="-127201.38"/>
  </r>
  <r>
    <s v="ORD0244"/>
    <x v="2"/>
    <s v="India"/>
    <x v="1"/>
    <s v="Online"/>
    <s v="Medium"/>
    <d v="2023-09-01T00:00:00"/>
    <n v="437"/>
    <n v="408.8"/>
    <n v="246.76"/>
    <n v="178645.6"/>
    <n v="70811.48000000001"/>
  </r>
  <r>
    <s v="ORD0245"/>
    <x v="0"/>
    <s v="USA"/>
    <x v="3"/>
    <s v="Online"/>
    <s v="High"/>
    <d v="2023-09-02T00:00:00"/>
    <n v="190"/>
    <n v="189.89"/>
    <n v="275.77999999999997"/>
    <n v="36079.1"/>
    <n v="-16319.099999999999"/>
  </r>
  <r>
    <s v="ORD0246"/>
    <x v="3"/>
    <s v="Australia"/>
    <x v="4"/>
    <s v="Offline"/>
    <s v="Medium"/>
    <d v="2023-09-03T00:00:00"/>
    <n v="33"/>
    <n v="265.62"/>
    <n v="151.35"/>
    <n v="8765.4600000000009"/>
    <n v="3770.9100000000008"/>
  </r>
  <r>
    <s v="ORD0247"/>
    <x v="2"/>
    <s v="USA"/>
    <x v="4"/>
    <s v="Online"/>
    <s v="High"/>
    <d v="2023-09-04T00:00:00"/>
    <n v="325"/>
    <n v="60.59"/>
    <n v="216.4"/>
    <n v="19691.75"/>
    <n v="-50638.25"/>
  </r>
  <r>
    <s v="ORD0248"/>
    <x v="2"/>
    <s v="USA"/>
    <x v="3"/>
    <s v="Offline"/>
    <s v="High"/>
    <d v="2023-09-05T00:00:00"/>
    <n v="387"/>
    <n v="6.28"/>
    <n v="210.62"/>
    <n v="2430.36"/>
    <n v="-79079.58"/>
  </r>
  <r>
    <s v="ORD0249"/>
    <x v="2"/>
    <s v="USA"/>
    <x v="1"/>
    <s v="Online"/>
    <s v="Medium"/>
    <d v="2023-09-06T00:00:00"/>
    <n v="396"/>
    <n v="320.8"/>
    <n v="339.52"/>
    <n v="127036.8"/>
    <n v="-7413.1199999999808"/>
  </r>
  <r>
    <s v="ORD0250"/>
    <x v="0"/>
    <s v="USA"/>
    <x v="4"/>
    <s v="Online"/>
    <s v="High"/>
    <d v="2023-09-07T00:00:00"/>
    <n v="413"/>
    <n v="260.01"/>
    <n v="336.31"/>
    <n v="107384.12999999999"/>
    <n v="-31511.900000000009"/>
  </r>
  <r>
    <s v="ORD0251"/>
    <x v="3"/>
    <s v="UK"/>
    <x v="4"/>
    <s v="Online"/>
    <s v="High"/>
    <d v="2023-09-08T00:00:00"/>
    <n v="255.90294117647059"/>
    <n v="298.8"/>
    <n v="333.41"/>
    <n v="76463.798823529418"/>
    <n v="-8856.8007941176475"/>
  </r>
  <r>
    <s v="ORD0252"/>
    <x v="2"/>
    <s v="India"/>
    <x v="0"/>
    <s v="Offline"/>
    <s v="Low"/>
    <d v="2023-09-09T00:00:00"/>
    <n v="24"/>
    <n v="397.9"/>
    <n v="6.39"/>
    <n v="9549.5999999999985"/>
    <n v="9396.239999999998"/>
  </r>
  <r>
    <s v="ORD0253"/>
    <x v="1"/>
    <s v="Germany"/>
    <x v="5"/>
    <s v="Online"/>
    <s v="High"/>
    <d v="2023-09-10T00:00:00"/>
    <n v="162"/>
    <n v="325.07"/>
    <n v="300.32"/>
    <n v="52661.34"/>
    <n v="4009.5"/>
  </r>
  <r>
    <s v="ORD0254"/>
    <x v="2"/>
    <s v="USA"/>
    <x v="4"/>
    <s v="Offline"/>
    <s v="Medium"/>
    <d v="2023-09-11T00:00:00"/>
    <n v="231"/>
    <n v="91.51"/>
    <n v="303.95"/>
    <n v="21138.81"/>
    <n v="-49073.64"/>
  </r>
  <r>
    <s v="ORD0255"/>
    <x v="2"/>
    <s v="Australia"/>
    <x v="1"/>
    <s v="Offline"/>
    <s v="Medium"/>
    <d v="2023-09-12T00:00:00"/>
    <n v="215"/>
    <n v="183.58"/>
    <n v="271.99"/>
    <n v="39469.700000000004"/>
    <n v="-19008.149999999994"/>
  </r>
  <r>
    <s v="ORD0256"/>
    <x v="0"/>
    <s v="USA"/>
    <x v="3"/>
    <s v="Offline"/>
    <s v="High"/>
    <d v="2023-09-13T00:00:00"/>
    <n v="464"/>
    <n v="453.42"/>
    <n v="302.99"/>
    <n v="210386.88"/>
    <n v="69799.51999999999"/>
  </r>
  <r>
    <s v="ORD0257"/>
    <x v="0"/>
    <s v="Australia"/>
    <x v="2"/>
    <s v="Online"/>
    <s v="Low"/>
    <d v="2023-09-14T00:00:00"/>
    <n v="282"/>
    <n v="249.64520588235297"/>
    <n v="337.1"/>
    <n v="70399.948058823531"/>
    <n v="-24662.251941176481"/>
  </r>
  <r>
    <s v="ORD0258"/>
    <x v="3"/>
    <s v="UK"/>
    <x v="4"/>
    <s v="Online"/>
    <s v="Low"/>
    <d v="2023-09-15T00:00:00"/>
    <n v="391"/>
    <n v="280.54000000000002"/>
    <n v="189.19"/>
    <n v="109691.14000000001"/>
    <n v="35717.85000000002"/>
  </r>
  <r>
    <s v="ORD0259"/>
    <x v="1"/>
    <s v="Australia"/>
    <x v="0"/>
    <s v="Online"/>
    <s v="High"/>
    <d v="2023-09-16T00:00:00"/>
    <n v="245"/>
    <n v="131.54"/>
    <n v="201.82"/>
    <n v="32227.3"/>
    <n v="-17218.600000000002"/>
  </r>
  <r>
    <s v="ORD0260"/>
    <x v="0"/>
    <s v="Germany"/>
    <x v="3"/>
    <s v="Online"/>
    <s v="High"/>
    <d v="2023-09-17T00:00:00"/>
    <n v="349"/>
    <n v="154.52000000000001"/>
    <n v="51.64"/>
    <n v="53927.48"/>
    <n v="35905.120000000003"/>
  </r>
  <r>
    <s v="ORD0261"/>
    <x v="2"/>
    <s v="India"/>
    <x v="1"/>
    <s v="Offline"/>
    <s v="Medium"/>
    <d v="2023-09-18T00:00:00"/>
    <n v="237"/>
    <n v="249.64520588235297"/>
    <n v="155.38"/>
    <n v="59165.913794117652"/>
    <n v="22340.853794117655"/>
  </r>
  <r>
    <s v="ORD0262"/>
    <x v="3"/>
    <s v="Australia"/>
    <x v="3"/>
    <s v="Offline"/>
    <s v="High"/>
    <d v="2023-09-19T00:00:00"/>
    <n v="18"/>
    <n v="426.33"/>
    <n v="258.06"/>
    <n v="7673.94"/>
    <n v="3028.8599999999997"/>
  </r>
  <r>
    <s v="ORD0263"/>
    <x v="2"/>
    <s v="Australia"/>
    <x v="4"/>
    <s v="Offline"/>
    <s v="Low"/>
    <d v="2023-09-20T00:00:00"/>
    <n v="175"/>
    <n v="337.36"/>
    <n v="312.60000000000002"/>
    <n v="59038"/>
    <n v="4332.9999999999927"/>
  </r>
  <r>
    <s v="ORD0264"/>
    <x v="2"/>
    <s v="India"/>
    <x v="5"/>
    <s v="Online"/>
    <s v="High"/>
    <d v="2023-09-21T00:00:00"/>
    <n v="441"/>
    <n v="405.72"/>
    <n v="88.45"/>
    <n v="178922.52000000002"/>
    <n v="139916.07"/>
  </r>
  <r>
    <s v="ORD0265"/>
    <x v="0"/>
    <s v="Germany"/>
    <x v="2"/>
    <s v="Offline"/>
    <s v="Medium"/>
    <d v="2023-09-22T00:00:00"/>
    <n v="453"/>
    <n v="384.49"/>
    <n v="56.85"/>
    <n v="174173.97"/>
    <n v="148420.92000000001"/>
  </r>
  <r>
    <s v="ORD0266"/>
    <x v="3"/>
    <s v="USA"/>
    <x v="3"/>
    <s v="Online"/>
    <s v="Medium"/>
    <d v="2023-09-23T00:00:00"/>
    <n v="328"/>
    <n v="79.099999999999994"/>
    <n v="265.89"/>
    <n v="25944.799999999999"/>
    <n v="-61267.119999999995"/>
  </r>
  <r>
    <s v="ORD0267"/>
    <x v="1"/>
    <s v="Australia"/>
    <x v="4"/>
    <s v="Offline"/>
    <s v="Medium"/>
    <d v="2023-09-24T00:00:00"/>
    <n v="223"/>
    <n v="214.85"/>
    <n v="2.75"/>
    <n v="47911.549999999996"/>
    <n v="47298.299999999996"/>
  </r>
  <r>
    <s v="ORD0268"/>
    <x v="1"/>
    <s v="India"/>
    <x v="0"/>
    <s v="Online"/>
    <s v="Medium"/>
    <d v="2023-09-25T00:00:00"/>
    <n v="126"/>
    <n v="80.73"/>
    <n v="72.989999999999995"/>
    <n v="10171.980000000001"/>
    <n v="975.2400000000016"/>
  </r>
  <r>
    <s v="ORD0269"/>
    <x v="0"/>
    <s v="UK"/>
    <x v="1"/>
    <s v="Online"/>
    <s v="Medium"/>
    <d v="2023-09-26T00:00:00"/>
    <n v="395"/>
    <n v="121.44"/>
    <n v="13.57"/>
    <n v="47968.799999999996"/>
    <n v="42608.649999999994"/>
  </r>
  <r>
    <s v="ORD0270"/>
    <x v="0"/>
    <s v="India"/>
    <x v="3"/>
    <s v="Offline"/>
    <s v="High"/>
    <d v="2023-09-27T00:00:00"/>
    <n v="353"/>
    <n v="435.28"/>
    <n v="68.42"/>
    <n v="153653.84"/>
    <n v="129501.57999999999"/>
  </r>
  <r>
    <s v="ORD0271"/>
    <x v="3"/>
    <s v="UK"/>
    <x v="3"/>
    <s v="Offline"/>
    <s v="High"/>
    <d v="2023-09-28T00:00:00"/>
    <n v="81"/>
    <n v="239.08"/>
    <n v="74.17"/>
    <n v="19365.48"/>
    <n v="13357.71"/>
  </r>
  <r>
    <s v="ORD0272"/>
    <x v="1"/>
    <s v="Germany"/>
    <x v="2"/>
    <s v="Offline"/>
    <s v="High"/>
    <d v="2023-09-29T00:00:00"/>
    <n v="404"/>
    <n v="270"/>
    <n v="156.29"/>
    <n v="109080"/>
    <n v="45938.840000000004"/>
  </r>
  <r>
    <s v="ORD0273"/>
    <x v="1"/>
    <s v="USA"/>
    <x v="2"/>
    <s v="Offline"/>
    <s v="High"/>
    <d v="2023-09-30T00:00:00"/>
    <n v="73"/>
    <n v="93.33"/>
    <n v="162.13"/>
    <n v="6813.09"/>
    <n v="-5022.3999999999996"/>
  </r>
  <r>
    <s v="ORD0274"/>
    <x v="1"/>
    <s v="India"/>
    <x v="0"/>
    <s v="Online"/>
    <s v="Medium"/>
    <d v="2023-10-01T00:00:00"/>
    <n v="214"/>
    <n v="159.57"/>
    <n v="349.96"/>
    <n v="34147.979999999996"/>
    <n v="-40743.460000000006"/>
  </r>
  <r>
    <s v="ORD0275"/>
    <x v="2"/>
    <s v="Australia"/>
    <x v="0"/>
    <s v="Offline"/>
    <s v="Low"/>
    <d v="2023-10-02T00:00:00"/>
    <n v="218"/>
    <n v="118.97"/>
    <n v="205.02"/>
    <n v="25935.46"/>
    <n v="-18758.900000000001"/>
  </r>
  <r>
    <s v="ORD0276"/>
    <x v="1"/>
    <s v="Germany"/>
    <x v="4"/>
    <s v="Offline"/>
    <s v="High"/>
    <d v="2023-10-03T00:00:00"/>
    <n v="81"/>
    <n v="107.06"/>
    <n v="289.92"/>
    <n v="8671.86"/>
    <n v="-14811.66"/>
  </r>
  <r>
    <s v="ORD0277"/>
    <x v="2"/>
    <s v="India"/>
    <x v="4"/>
    <s v="Offline"/>
    <s v="Low"/>
    <d v="2023-10-04T00:00:00"/>
    <n v="286"/>
    <n v="320.79000000000002"/>
    <n v="43.45"/>
    <n v="91745.94"/>
    <n v="79319.240000000005"/>
  </r>
  <r>
    <s v="ORD0278"/>
    <x v="3"/>
    <s v="Australia"/>
    <x v="0"/>
    <s v="Online"/>
    <s v="High"/>
    <d v="2023-10-05T00:00:00"/>
    <n v="283"/>
    <n v="132.16"/>
    <n v="91.72"/>
    <n v="37401.279999999999"/>
    <n v="11444.52"/>
  </r>
  <r>
    <s v="ORD0279"/>
    <x v="2"/>
    <s v="India"/>
    <x v="0"/>
    <s v="Online"/>
    <s v="High"/>
    <d v="2023-10-06T00:00:00"/>
    <n v="487"/>
    <n v="317.85000000000002"/>
    <n v="281.77"/>
    <n v="154792.95000000001"/>
    <n v="17570.960000000021"/>
  </r>
  <r>
    <s v="ORD0280"/>
    <x v="3"/>
    <s v="UK"/>
    <x v="1"/>
    <s v="Offline"/>
    <s v="Low"/>
    <d v="2023-10-07T00:00:00"/>
    <n v="329"/>
    <n v="33.94"/>
    <n v="23.02"/>
    <n v="11166.259999999998"/>
    <n v="3592.6799999999985"/>
  </r>
  <r>
    <s v="ORD0281"/>
    <x v="1"/>
    <s v="India"/>
    <x v="2"/>
    <s v="Online"/>
    <s v="Medium"/>
    <d v="2023-10-08T00:00:00"/>
    <n v="347"/>
    <n v="75.180000000000007"/>
    <n v="195.67"/>
    <n v="26087.460000000003"/>
    <n v="-41810.029999999984"/>
  </r>
  <r>
    <s v="ORD0282"/>
    <x v="1"/>
    <s v="India"/>
    <x v="4"/>
    <s v="Offline"/>
    <s v="High"/>
    <d v="2023-10-09T00:00:00"/>
    <n v="375"/>
    <n v="140.9"/>
    <n v="240.55"/>
    <n v="52837.5"/>
    <n v="-37368.75"/>
  </r>
  <r>
    <s v="ORD0283"/>
    <x v="3"/>
    <s v="India"/>
    <x v="2"/>
    <s v="Online"/>
    <s v="High"/>
    <d v="2023-10-10T00:00:00"/>
    <n v="104"/>
    <n v="300.54000000000002"/>
    <n v="241.65"/>
    <n v="31256.160000000003"/>
    <n v="6124.5600000000013"/>
  </r>
  <r>
    <s v="ORD0284"/>
    <x v="0"/>
    <s v="Germany"/>
    <x v="5"/>
    <s v="Online"/>
    <s v="High"/>
    <d v="2023-10-11T00:00:00"/>
    <n v="175"/>
    <n v="339.54"/>
    <n v="11.13"/>
    <n v="59419.5"/>
    <n v="57471.75"/>
  </r>
  <r>
    <s v="ORD0285"/>
    <x v="3"/>
    <s v="India"/>
    <x v="0"/>
    <s v="Online"/>
    <s v="Low"/>
    <d v="2023-10-12T00:00:00"/>
    <n v="41"/>
    <n v="224.14"/>
    <n v="130.19999999999999"/>
    <n v="9189.74"/>
    <n v="3851.54"/>
  </r>
  <r>
    <s v="ORD0286"/>
    <x v="0"/>
    <s v="Australia"/>
    <x v="1"/>
    <s v="Online"/>
    <s v="Medium"/>
    <d v="2023-10-13T00:00:00"/>
    <n v="20"/>
    <n v="225.67"/>
    <n v="255.32"/>
    <n v="4513.3999999999996"/>
    <n v="-593"/>
  </r>
  <r>
    <s v="ORD0287"/>
    <x v="2"/>
    <s v="UK"/>
    <x v="3"/>
    <s v="Offline"/>
    <s v="Low"/>
    <d v="2023-10-14T00:00:00"/>
    <n v="310"/>
    <n v="363.64"/>
    <n v="61.3"/>
    <n v="112728.4"/>
    <n v="93725.4"/>
  </r>
  <r>
    <s v="ORD0288"/>
    <x v="2"/>
    <s v="UK"/>
    <x v="1"/>
    <s v="Offline"/>
    <s v="Low"/>
    <d v="2023-10-15T00:00:00"/>
    <n v="226"/>
    <n v="249.64520588235297"/>
    <n v="278.77999999999997"/>
    <n v="56419.816529411772"/>
    <n v="-6584.4634705882199"/>
  </r>
  <r>
    <s v="ORD0289"/>
    <x v="2"/>
    <s v="India"/>
    <x v="1"/>
    <s v="Offline"/>
    <s v="Medium"/>
    <d v="2023-10-16T00:00:00"/>
    <n v="255.90294117647059"/>
    <n v="173.84"/>
    <n v="298.88"/>
    <n v="44486.167294117651"/>
    <n v="-31998.103764705884"/>
  </r>
  <r>
    <s v="ORD0290"/>
    <x v="1"/>
    <s v="Germany"/>
    <x v="2"/>
    <s v="Online"/>
    <s v="Low"/>
    <d v="2023-10-17T00:00:00"/>
    <n v="111"/>
    <n v="410.26"/>
    <n v="392.82"/>
    <n v="45538.86"/>
    <n v="1935.8400000000038"/>
  </r>
  <r>
    <s v="ORD0291"/>
    <x v="2"/>
    <s v="Germany"/>
    <x v="1"/>
    <s v="Offline"/>
    <s v="Medium"/>
    <d v="2023-10-18T00:00:00"/>
    <n v="434"/>
    <n v="303.58999999999997"/>
    <n v="85.52"/>
    <n v="131758.06"/>
    <n v="94642.38"/>
  </r>
  <r>
    <s v="ORD0292"/>
    <x v="0"/>
    <s v="Australia"/>
    <x v="4"/>
    <s v="Offline"/>
    <s v="High"/>
    <d v="2023-10-19T00:00:00"/>
    <n v="401"/>
    <n v="171.93"/>
    <n v="330.4"/>
    <n v="68943.930000000008"/>
    <n v="-63546.469999999987"/>
  </r>
  <r>
    <s v="ORD0293"/>
    <x v="2"/>
    <s v="India"/>
    <x v="2"/>
    <s v="Offline"/>
    <s v="Medium"/>
    <d v="2023-10-20T00:00:00"/>
    <n v="276"/>
    <n v="453.23"/>
    <n v="209.08"/>
    <n v="125091.48000000001"/>
    <n v="67385.400000000009"/>
  </r>
  <r>
    <s v="ORD0294"/>
    <x v="3"/>
    <s v="UK"/>
    <x v="4"/>
    <s v="Online"/>
    <s v="High"/>
    <d v="2023-10-21T00:00:00"/>
    <n v="255.90294117647059"/>
    <n v="387.45"/>
    <n v="150.63999999999999"/>
    <n v="99149.594558823534"/>
    <n v="60600.375500000009"/>
  </r>
  <r>
    <s v="ORD0295"/>
    <x v="3"/>
    <s v="Germany"/>
    <x v="3"/>
    <s v="Online"/>
    <s v="Low"/>
    <d v="2023-10-22T00:00:00"/>
    <n v="188"/>
    <n v="136.12"/>
    <n v="50.71"/>
    <n v="25590.560000000001"/>
    <n v="16057.080000000002"/>
  </r>
  <r>
    <s v="ORD0296"/>
    <x v="1"/>
    <s v="India"/>
    <x v="2"/>
    <s v="Online"/>
    <s v="Low"/>
    <d v="2023-10-23T00:00:00"/>
    <n v="97"/>
    <n v="324.42"/>
    <n v="294.73"/>
    <n v="31468.74"/>
    <n v="2879.9300000000003"/>
  </r>
  <r>
    <s v="ORD0297"/>
    <x v="3"/>
    <s v="Germany"/>
    <x v="3"/>
    <s v="Offline"/>
    <s v="High"/>
    <d v="2023-10-24T00:00:00"/>
    <n v="50"/>
    <n v="299.89999999999998"/>
    <n v="95.87"/>
    <n v="14994.999999999998"/>
    <n v="10201.499999999998"/>
  </r>
  <r>
    <s v="ORD0298"/>
    <x v="0"/>
    <s v="Germany"/>
    <x v="2"/>
    <s v="Offline"/>
    <s v="Low"/>
    <d v="2023-10-25T00:00:00"/>
    <n v="410"/>
    <n v="203.59"/>
    <n v="149.83000000000001"/>
    <n v="83471.899999999994"/>
    <n v="22041.599999999991"/>
  </r>
  <r>
    <s v="ORD0299"/>
    <x v="2"/>
    <s v="UK"/>
    <x v="0"/>
    <s v="Offline"/>
    <s v="Medium"/>
    <d v="2023-10-26T00:00:00"/>
    <n v="85"/>
    <n v="186.64"/>
    <n v="26.89"/>
    <n v="15864.4"/>
    <n v="13578.75"/>
  </r>
  <r>
    <s v="ORD0300"/>
    <x v="1"/>
    <s v="USA"/>
    <x v="1"/>
    <s v="Online"/>
    <s v="High"/>
    <d v="2023-10-27T00:00:00"/>
    <n v="386"/>
    <n v="175.06"/>
    <n v="320.94"/>
    <n v="67573.16"/>
    <n v="-56309.679999999993"/>
  </r>
  <r>
    <s v="ORD0301"/>
    <x v="2"/>
    <s v="Australia"/>
    <x v="0"/>
    <s v="Online"/>
    <s v="Low"/>
    <d v="2023-10-28T00:00:00"/>
    <n v="55"/>
    <n v="310.49"/>
    <n v="307.10000000000002"/>
    <n v="17076.95"/>
    <n v="186.45000000000073"/>
  </r>
  <r>
    <s v="ORD0302"/>
    <x v="2"/>
    <s v="Australia"/>
    <x v="3"/>
    <s v="Offline"/>
    <s v="High"/>
    <d v="2023-10-29T00:00:00"/>
    <n v="169"/>
    <n v="223.99"/>
    <n v="293.98"/>
    <n v="37854.310000000005"/>
    <n v="-11828.309999999998"/>
  </r>
  <r>
    <s v="ORD0303"/>
    <x v="0"/>
    <s v="UK"/>
    <x v="1"/>
    <s v="Online"/>
    <s v="Medium"/>
    <d v="2023-10-30T00:00:00"/>
    <n v="472"/>
    <n v="416.77"/>
    <n v="121.18"/>
    <n v="196715.44"/>
    <n v="139518.47999999998"/>
  </r>
  <r>
    <s v="ORD0304"/>
    <x v="3"/>
    <s v="Germany"/>
    <x v="2"/>
    <s v="Online"/>
    <s v="Medium"/>
    <d v="2023-10-31T00:00:00"/>
    <n v="89"/>
    <n v="336.45"/>
    <n v="71.05"/>
    <n v="29944.05"/>
    <n v="23620.6"/>
  </r>
  <r>
    <s v="ORD0305"/>
    <x v="3"/>
    <s v="India"/>
    <x v="1"/>
    <s v="Online"/>
    <s v="Low"/>
    <d v="2023-11-01T00:00:00"/>
    <n v="319"/>
    <n v="39.619999999999997"/>
    <n v="255.75"/>
    <n v="12638.779999999999"/>
    <n v="-68945.47"/>
  </r>
  <r>
    <s v="ORD0306"/>
    <x v="2"/>
    <s v="Germany"/>
    <x v="5"/>
    <s v="Online"/>
    <s v="Medium"/>
    <d v="2023-11-02T00:00:00"/>
    <n v="95"/>
    <n v="321.88"/>
    <n v="199.47"/>
    <n v="30578.6"/>
    <n v="11628.949999999997"/>
  </r>
  <r>
    <s v="ORD0307"/>
    <x v="1"/>
    <s v="UK"/>
    <x v="5"/>
    <s v="Offline"/>
    <s v="High"/>
    <d v="2023-11-03T00:00:00"/>
    <n v="101"/>
    <n v="139.22"/>
    <n v="72.94"/>
    <n v="14061.22"/>
    <n v="6694.28"/>
  </r>
  <r>
    <s v="ORD0308"/>
    <x v="3"/>
    <s v="Australia"/>
    <x v="5"/>
    <s v="Online"/>
    <s v="Medium"/>
    <d v="2023-11-04T00:00:00"/>
    <n v="157"/>
    <n v="249.64520588235297"/>
    <n v="274.99"/>
    <n v="39194.297323529419"/>
    <n v="-3979.1326764705809"/>
  </r>
  <r>
    <s v="ORD0309"/>
    <x v="1"/>
    <s v="Germany"/>
    <x v="1"/>
    <s v="Online"/>
    <s v="High"/>
    <d v="2023-11-05T00:00:00"/>
    <n v="170"/>
    <n v="341.67"/>
    <n v="396.47"/>
    <n v="58083.9"/>
    <n v="-9316.0000000000073"/>
  </r>
  <r>
    <s v="ORD0310"/>
    <x v="3"/>
    <s v="Australia"/>
    <x v="4"/>
    <s v="Online"/>
    <s v="High"/>
    <d v="2023-11-06T00:00:00"/>
    <n v="211"/>
    <n v="119.26"/>
    <n v="299.39"/>
    <n v="25163.86"/>
    <n v="-38007.429999999993"/>
  </r>
  <r>
    <s v="ORD0311"/>
    <x v="1"/>
    <s v="India"/>
    <x v="3"/>
    <s v="Online"/>
    <s v="Medium"/>
    <d v="2023-11-07T00:00:00"/>
    <n v="433"/>
    <n v="231.15"/>
    <n v="296.51"/>
    <n v="100087.95"/>
    <n v="-28300.880000000005"/>
  </r>
  <r>
    <s v="ORD0312"/>
    <x v="0"/>
    <s v="Australia"/>
    <x v="0"/>
    <s v="Offline"/>
    <s v="Low"/>
    <d v="2023-11-08T00:00:00"/>
    <n v="425"/>
    <n v="99.21"/>
    <n v="380.22"/>
    <n v="42164.25"/>
    <n v="-119429.25"/>
  </r>
  <r>
    <s v="ORD0313"/>
    <x v="1"/>
    <s v="Australia"/>
    <x v="2"/>
    <s v="Offline"/>
    <s v="Medium"/>
    <d v="2023-11-09T00:00:00"/>
    <n v="251"/>
    <n v="30.91"/>
    <n v="82.77"/>
    <n v="7758.41"/>
    <n v="-13016.86"/>
  </r>
  <r>
    <s v="ORD0314"/>
    <x v="0"/>
    <s v="USA"/>
    <x v="1"/>
    <s v="Online"/>
    <s v="High"/>
    <d v="2023-11-10T00:00:00"/>
    <n v="255.90294117647059"/>
    <n v="192.35"/>
    <n v="227.09"/>
    <n v="49222.930735294118"/>
    <n v="-8890.0681764705878"/>
  </r>
  <r>
    <s v="ORD0315"/>
    <x v="0"/>
    <s v="USA"/>
    <x v="0"/>
    <s v="Online"/>
    <s v="High"/>
    <d v="2023-11-11T00:00:00"/>
    <n v="11"/>
    <n v="184.66"/>
    <n v="391.9"/>
    <n v="2031.26"/>
    <n v="-2279.6399999999994"/>
  </r>
  <r>
    <s v="ORD0316"/>
    <x v="1"/>
    <s v="USA"/>
    <x v="2"/>
    <s v="Online"/>
    <s v="Medium"/>
    <d v="2023-11-12T00:00:00"/>
    <n v="234"/>
    <n v="497.76"/>
    <n v="67.790000000000006"/>
    <n v="116475.84"/>
    <n v="100612.98"/>
  </r>
  <r>
    <s v="ORD0317"/>
    <x v="0"/>
    <s v="Australia"/>
    <x v="2"/>
    <s v="Online"/>
    <s v="Low"/>
    <d v="2023-11-13T00:00:00"/>
    <n v="255.90294117647059"/>
    <n v="225.94"/>
    <n v="280.7"/>
    <n v="57818.710529411765"/>
    <n v="-14013.245058823522"/>
  </r>
  <r>
    <s v="ORD0318"/>
    <x v="2"/>
    <s v="UK"/>
    <x v="4"/>
    <s v="Online"/>
    <s v="Low"/>
    <d v="2023-11-14T00:00:00"/>
    <n v="242"/>
    <n v="170.12"/>
    <n v="235.15"/>
    <n v="41169.040000000001"/>
    <n v="-15737.260000000002"/>
  </r>
  <r>
    <s v="ORD0319"/>
    <x v="0"/>
    <s v="Australia"/>
    <x v="3"/>
    <s v="Online"/>
    <s v="High"/>
    <d v="2023-11-15T00:00:00"/>
    <n v="470"/>
    <n v="292.33999999999997"/>
    <n v="235.42"/>
    <n v="137399.79999999999"/>
    <n v="26752.399999999994"/>
  </r>
  <r>
    <s v="ORD0320"/>
    <x v="3"/>
    <s v="UK"/>
    <x v="3"/>
    <s v="Offline"/>
    <s v="High"/>
    <d v="2023-11-16T00:00:00"/>
    <n v="423"/>
    <n v="48.94"/>
    <n v="279.67"/>
    <n v="20701.62"/>
    <n v="-97598.790000000008"/>
  </r>
  <r>
    <s v="ORD0321"/>
    <x v="1"/>
    <s v="UK"/>
    <x v="0"/>
    <s v="Online"/>
    <s v="Low"/>
    <d v="2023-11-17T00:00:00"/>
    <n v="426"/>
    <n v="481.02"/>
    <n v="371.99"/>
    <n v="204914.52"/>
    <n v="46446.78"/>
  </r>
  <r>
    <s v="ORD0322"/>
    <x v="2"/>
    <s v="USA"/>
    <x v="3"/>
    <s v="Offline"/>
    <s v="Medium"/>
    <d v="2023-11-18T00:00:00"/>
    <n v="86"/>
    <n v="319.31"/>
    <n v="313.47000000000003"/>
    <n v="27460.66"/>
    <n v="502.23999999999796"/>
  </r>
  <r>
    <s v="ORD0323"/>
    <x v="1"/>
    <s v="Germany"/>
    <x v="1"/>
    <s v="Offline"/>
    <s v="High"/>
    <d v="2023-11-19T00:00:00"/>
    <n v="125"/>
    <n v="378.64"/>
    <n v="24.34"/>
    <n v="47330"/>
    <n v="44287.5"/>
  </r>
  <r>
    <s v="ORD0324"/>
    <x v="3"/>
    <s v="India"/>
    <x v="5"/>
    <s v="Online"/>
    <s v="High"/>
    <d v="2023-11-20T00:00:00"/>
    <n v="163"/>
    <n v="89.39"/>
    <n v="341.39"/>
    <n v="14570.57"/>
    <n v="-41076"/>
  </r>
  <r>
    <s v="ORD0325"/>
    <x v="3"/>
    <s v="USA"/>
    <x v="0"/>
    <s v="Offline"/>
    <s v="Low"/>
    <d v="2023-11-21T00:00:00"/>
    <n v="415"/>
    <n v="207.69"/>
    <n v="91.77"/>
    <n v="86191.35"/>
    <n v="48106.80000000001"/>
  </r>
  <r>
    <s v="ORD0326"/>
    <x v="3"/>
    <s v="USA"/>
    <x v="3"/>
    <s v="Offline"/>
    <s v="Medium"/>
    <d v="2023-11-22T00:00:00"/>
    <n v="112"/>
    <n v="214.23"/>
    <n v="152.01"/>
    <n v="23993.759999999998"/>
    <n v="6968.6399999999994"/>
  </r>
  <r>
    <s v="ORD0327"/>
    <x v="0"/>
    <s v="Germany"/>
    <x v="1"/>
    <s v="Offline"/>
    <s v="Low"/>
    <d v="2023-11-23T00:00:00"/>
    <n v="203"/>
    <n v="411.79"/>
    <n v="185.77"/>
    <n v="83593.37000000001"/>
    <n v="45882.060000000005"/>
  </r>
  <r>
    <s v="ORD0328"/>
    <x v="0"/>
    <s v="India"/>
    <x v="4"/>
    <s v="Offline"/>
    <s v="Medium"/>
    <d v="2023-11-24T00:00:00"/>
    <n v="255.90294117647059"/>
    <n v="5.61"/>
    <n v="193.4"/>
    <n v="1435.6155000000001"/>
    <n v="-48056.013323529412"/>
  </r>
  <r>
    <s v="ORD0329"/>
    <x v="1"/>
    <s v="Australia"/>
    <x v="0"/>
    <s v="Offline"/>
    <s v="Medium"/>
    <d v="2023-11-25T00:00:00"/>
    <n v="368"/>
    <n v="153.91999999999999"/>
    <n v="175.2"/>
    <n v="56642.559999999998"/>
    <n v="-7831.0400000000009"/>
  </r>
  <r>
    <s v="ORD0330"/>
    <x v="1"/>
    <s v="Australia"/>
    <x v="4"/>
    <s v="Offline"/>
    <s v="Medium"/>
    <d v="2023-11-26T00:00:00"/>
    <n v="99"/>
    <n v="490.71"/>
    <n v="375.07"/>
    <n v="48580.29"/>
    <n v="11448.36"/>
  </r>
  <r>
    <s v="ORD0331"/>
    <x v="2"/>
    <s v="USA"/>
    <x v="4"/>
    <s v="Online"/>
    <s v="High"/>
    <d v="2023-11-27T00:00:00"/>
    <n v="183"/>
    <n v="240.07"/>
    <n v="283"/>
    <n v="43932.81"/>
    <n v="-7856.1900000000023"/>
  </r>
  <r>
    <s v="ORD0332"/>
    <x v="1"/>
    <s v="India"/>
    <x v="4"/>
    <s v="Offline"/>
    <s v="Low"/>
    <d v="2023-11-28T00:00:00"/>
    <n v="131"/>
    <n v="194.35"/>
    <n v="253.21"/>
    <n v="25459.85"/>
    <n v="-7710.6600000000035"/>
  </r>
  <r>
    <s v="ORD0333"/>
    <x v="1"/>
    <s v="USA"/>
    <x v="2"/>
    <s v="Offline"/>
    <s v="Low"/>
    <d v="2023-11-29T00:00:00"/>
    <n v="152"/>
    <n v="64.319999999999993"/>
    <n v="21.84"/>
    <n v="9776.64"/>
    <n v="6456.9599999999991"/>
  </r>
  <r>
    <s v="ORD0334"/>
    <x v="0"/>
    <s v="UK"/>
    <x v="2"/>
    <s v="Offline"/>
    <s v="Medium"/>
    <d v="2023-11-30T00:00:00"/>
    <n v="491"/>
    <n v="487.21"/>
    <n v="361.76"/>
    <n v="239220.11"/>
    <n v="61595.949999999983"/>
  </r>
  <r>
    <s v="ORD0335"/>
    <x v="3"/>
    <s v="USA"/>
    <x v="4"/>
    <s v="Online"/>
    <s v="High"/>
    <d v="2023-12-01T00:00:00"/>
    <n v="115"/>
    <n v="14.91"/>
    <n v="363.94"/>
    <n v="1714.65"/>
    <n v="-40138.449999999997"/>
  </r>
  <r>
    <s v="ORD0336"/>
    <x v="1"/>
    <s v="USA"/>
    <x v="0"/>
    <s v="Offline"/>
    <s v="High"/>
    <d v="2023-12-02T00:00:00"/>
    <n v="384"/>
    <n v="369.9"/>
    <n v="312.52"/>
    <n v="142041.59999999998"/>
    <n v="22033.919999999984"/>
  </r>
  <r>
    <s v="ORD0337"/>
    <x v="2"/>
    <s v="Australia"/>
    <x v="1"/>
    <s v="Online"/>
    <s v="Low"/>
    <d v="2023-12-03T00:00:00"/>
    <n v="437"/>
    <n v="385.46"/>
    <n v="4.8"/>
    <n v="168446.02"/>
    <n v="166348.41999999998"/>
  </r>
  <r>
    <s v="ORD0338"/>
    <x v="0"/>
    <s v="Australia"/>
    <x v="1"/>
    <s v="Offline"/>
    <s v="High"/>
    <d v="2023-12-04T00:00:00"/>
    <n v="314"/>
    <n v="125.61"/>
    <n v="24.8"/>
    <n v="39441.54"/>
    <n v="31654.34"/>
  </r>
  <r>
    <s v="ORD0339"/>
    <x v="1"/>
    <s v="Australia"/>
    <x v="3"/>
    <s v="Online"/>
    <s v="High"/>
    <d v="2023-12-05T00:00:00"/>
    <n v="369"/>
    <n v="337.42"/>
    <n v="91.64"/>
    <n v="124507.98000000001"/>
    <n v="90692.82"/>
  </r>
  <r>
    <s v="ORD0340"/>
    <x v="1"/>
    <s v="UK"/>
    <x v="0"/>
    <s v="Online"/>
    <s v="Medium"/>
    <d v="2023-12-06T00:00:00"/>
    <n v="468"/>
    <n v="51"/>
    <n v="54.28"/>
    <n v="23868"/>
    <n v="-1535.0400000000009"/>
  </r>
  <r>
    <s v="ORD0341"/>
    <x v="0"/>
    <s v="Australia"/>
    <x v="2"/>
    <s v="Offline"/>
    <s v="High"/>
    <d v="2023-12-07T00:00:00"/>
    <n v="326"/>
    <n v="132.24"/>
    <n v="160.74"/>
    <n v="43110.240000000005"/>
    <n v="-9291"/>
  </r>
  <r>
    <s v="ORD0342"/>
    <x v="1"/>
    <s v="India"/>
    <x v="4"/>
    <s v="Offline"/>
    <s v="Medium"/>
    <d v="2023-12-08T00:00:00"/>
    <n v="460"/>
    <n v="395.01"/>
    <n v="369.2"/>
    <n v="181704.6"/>
    <n v="11872.600000000006"/>
  </r>
  <r>
    <s v="ORD0343"/>
    <x v="0"/>
    <s v="Germany"/>
    <x v="3"/>
    <s v="Online"/>
    <s v="Low"/>
    <d v="2023-12-09T00:00:00"/>
    <n v="132"/>
    <n v="433.02"/>
    <n v="189.88"/>
    <n v="57158.64"/>
    <n v="32094.48"/>
  </r>
  <r>
    <s v="ORD0344"/>
    <x v="3"/>
    <s v="India"/>
    <x v="1"/>
    <s v="Offline"/>
    <s v="High"/>
    <d v="2023-12-10T00:00:00"/>
    <n v="399"/>
    <n v="306.2"/>
    <n v="7.33"/>
    <n v="122173.79999999999"/>
    <n v="119249.12999999999"/>
  </r>
  <r>
    <s v="ORD0345"/>
    <x v="0"/>
    <s v="India"/>
    <x v="2"/>
    <s v="Online"/>
    <s v="Low"/>
    <d v="2023-12-11T00:00:00"/>
    <n v="18"/>
    <n v="255.89"/>
    <n v="114.53"/>
    <n v="4606.0199999999995"/>
    <n v="2544.4799999999996"/>
  </r>
  <r>
    <s v="ORD0346"/>
    <x v="0"/>
    <s v="Australia"/>
    <x v="2"/>
    <s v="Online"/>
    <s v="Low"/>
    <d v="2023-12-12T00:00:00"/>
    <n v="271"/>
    <n v="83.86"/>
    <n v="19.75"/>
    <n v="22726.06"/>
    <n v="17373.810000000001"/>
  </r>
  <r>
    <s v="ORD0347"/>
    <x v="1"/>
    <s v="Germany"/>
    <x v="4"/>
    <s v="Online"/>
    <s v="High"/>
    <d v="2023-12-13T00:00:00"/>
    <n v="82"/>
    <n v="36.24"/>
    <n v="16.440000000000001"/>
    <n v="2971.6800000000003"/>
    <n v="1623.6000000000001"/>
  </r>
  <r>
    <s v="ORD0348"/>
    <x v="1"/>
    <s v="Germany"/>
    <x v="1"/>
    <s v="Online"/>
    <s v="High"/>
    <d v="2023-12-14T00:00:00"/>
    <n v="368"/>
    <n v="63.24"/>
    <n v="111.74"/>
    <n v="23272.32"/>
    <n v="-17848"/>
  </r>
  <r>
    <s v="ORD0349"/>
    <x v="1"/>
    <s v="Germany"/>
    <x v="0"/>
    <s v="Online"/>
    <s v="Low"/>
    <d v="2023-12-15T00:00:00"/>
    <n v="232"/>
    <n v="117.54"/>
    <n v="111.69"/>
    <n v="27269.280000000002"/>
    <n v="1357.2000000000044"/>
  </r>
  <r>
    <s v="ORD0350"/>
    <x v="0"/>
    <s v="UK"/>
    <x v="2"/>
    <s v="Offline"/>
    <s v="High"/>
    <d v="2023-12-16T00:00:00"/>
    <n v="425"/>
    <n v="174.13"/>
    <n v="315.27999999999997"/>
    <n v="74005.25"/>
    <n v="-59988.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s v="Beverages"/>
    <x v="0"/>
    <x v="0"/>
    <x v="0"/>
    <n v="235"/>
    <n v="152.91999999999999"/>
    <n v="153.6"/>
    <n v="35936.199999999997"/>
    <n v="-159.80000000000291"/>
    <n v="-4.4467695527073796E-3"/>
    <s v="2023-01"/>
    <n v="152.91999999999999"/>
  </r>
  <r>
    <s v="ORD0002"/>
    <x v="1"/>
    <x v="1"/>
    <s v="Food"/>
    <x v="0"/>
    <x v="1"/>
    <x v="1"/>
    <n v="341"/>
    <n v="467.92"/>
    <n v="139.84"/>
    <n v="159560.72"/>
    <n v="111875.28"/>
    <n v="0.70114549495640277"/>
    <s v="2023-01"/>
    <n v="467.92"/>
  </r>
  <r>
    <s v="ORD0003"/>
    <x v="2"/>
    <x v="1"/>
    <s v="Clothing"/>
    <x v="1"/>
    <x v="0"/>
    <x v="2"/>
    <n v="179"/>
    <n v="473.94"/>
    <n v="97.14"/>
    <n v="84835.26"/>
    <n v="67447.199999999997"/>
    <n v="0.79503734649955693"/>
    <s v="2023-01"/>
    <n v="473.94"/>
  </r>
  <r>
    <s v="ORD0004"/>
    <x v="0"/>
    <x v="2"/>
    <s v="Furniture"/>
    <x v="1"/>
    <x v="2"/>
    <x v="3"/>
    <n v="18"/>
    <n v="314.52999999999997"/>
    <n v="204.87"/>
    <n v="5661.5399999999991"/>
    <n v="1973.8799999999992"/>
    <n v="0.3486471878676119"/>
    <s v="2023-01"/>
    <n v="314.52999999999997"/>
  </r>
  <r>
    <s v="ORD0005"/>
    <x v="0"/>
    <x v="1"/>
    <s v="Furniture"/>
    <x v="1"/>
    <x v="2"/>
    <x v="4"/>
    <n v="472"/>
    <n v="392.79"/>
    <n v="330.46"/>
    <n v="185396.88"/>
    <n v="29419.760000000009"/>
    <n v="0.15868530257898628"/>
    <s v="2023-01"/>
    <n v="392.79"/>
  </r>
  <r>
    <s v="ORD0006"/>
    <x v="1"/>
    <x v="3"/>
    <s v="Clothing"/>
    <x v="0"/>
    <x v="0"/>
    <x v="5"/>
    <n v="49"/>
    <n v="308.07"/>
    <n v="113.32"/>
    <n v="15095.43"/>
    <n v="9542.75"/>
    <n v="0.63216152173207385"/>
    <s v="2023-01"/>
    <n v="308.07"/>
  </r>
  <r>
    <s v="ORD0007"/>
    <x v="2"/>
    <x v="0"/>
    <s v="Clothing"/>
    <x v="0"/>
    <x v="1"/>
    <x v="6"/>
    <n v="34"/>
    <n v="244.78"/>
    <n v="377.07"/>
    <n v="8322.52"/>
    <n v="-4497.8599999999988"/>
    <n v="-0.5404444807582317"/>
    <s v="2023-01"/>
    <n v="244.78"/>
  </r>
  <r>
    <s v="ORD0008"/>
    <x v="2"/>
    <x v="1"/>
    <s v="Beverages"/>
    <x v="0"/>
    <x v="0"/>
    <x v="7"/>
    <n v="270"/>
    <n v="332.11"/>
    <n v="349.59"/>
    <n v="89669.7"/>
    <n v="-4719.5999999999913"/>
    <n v="-5.2633163710818609E-2"/>
    <s v="2023-01"/>
    <n v="332.11"/>
  </r>
  <r>
    <s v="ORD0009"/>
    <x v="0"/>
    <x v="1"/>
    <s v="Beverages"/>
    <x v="0"/>
    <x v="1"/>
    <x v="8"/>
    <n v="404"/>
    <n v="278.74"/>
    <n v="66.38"/>
    <n v="112610.96"/>
    <n v="85793.44"/>
    <n v="0.7618569276027839"/>
    <s v="2023-01"/>
    <n v="278.74"/>
  </r>
  <r>
    <s v="ORD0010"/>
    <x v="1"/>
    <x v="2"/>
    <s v="Furniture"/>
    <x v="0"/>
    <x v="2"/>
    <x v="9"/>
    <n v="452"/>
    <n v="300.75"/>
    <n v="314.94"/>
    <n v="135939"/>
    <n v="-6413.8800000000047"/>
    <n v="-4.7182044887780585E-2"/>
    <s v="2023-01"/>
    <n v="300.75"/>
  </r>
  <r>
    <s v="ORD0011"/>
    <x v="0"/>
    <x v="2"/>
    <s v="Food"/>
    <x v="0"/>
    <x v="1"/>
    <x v="10"/>
    <n v="235"/>
    <n v="393"/>
    <n v="230.69"/>
    <n v="92355"/>
    <n v="38142.85"/>
    <n v="0.41300254452926205"/>
    <s v="2023-01"/>
    <n v="393"/>
  </r>
  <r>
    <s v="ORD0012"/>
    <x v="0"/>
    <x v="3"/>
    <s v="Furniture"/>
    <x v="1"/>
    <x v="2"/>
    <x v="11"/>
    <n v="481"/>
    <n v="243.05"/>
    <n v="227.5"/>
    <n v="116907.05"/>
    <n v="7479.5500000000029"/>
    <n v="6.3978605225262317E-2"/>
    <s v="2023-01"/>
    <n v="243.05"/>
  </r>
  <r>
    <s v="ORD0013"/>
    <x v="0"/>
    <x v="0"/>
    <s v="Food"/>
    <x v="1"/>
    <x v="1"/>
    <x v="12"/>
    <n v="133"/>
    <n v="25.17"/>
    <n v="157.63999999999999"/>
    <n v="3347.61"/>
    <n v="-17618.509999999998"/>
    <n v="-5.2630115216527606"/>
    <s v="2023-01"/>
    <n v="25.17"/>
  </r>
  <r>
    <s v="ORD0014"/>
    <x v="0"/>
    <x v="2"/>
    <s v="Food"/>
    <x v="1"/>
    <x v="1"/>
    <x v="13"/>
    <n v="472"/>
    <n v="86.18"/>
    <n v="201.46"/>
    <n v="40676.960000000006"/>
    <n v="-54412.160000000003"/>
    <n v="-1.3376653515896959"/>
    <s v="2023-01"/>
    <n v="86.18"/>
  </r>
  <r>
    <s v="ORD0015"/>
    <x v="1"/>
    <x v="1"/>
    <s v="Beverages"/>
    <x v="1"/>
    <x v="1"/>
    <x v="14"/>
    <n v="47"/>
    <n v="222.11"/>
    <n v="160.08000000000001"/>
    <n v="10439.17"/>
    <n v="2915.41"/>
    <n v="0.27927603439737064"/>
    <s v="2023-01"/>
    <n v="222.11"/>
  </r>
  <r>
    <s v="ORD0016"/>
    <x v="2"/>
    <x v="0"/>
    <s v="Electronics"/>
    <x v="0"/>
    <x v="0"/>
    <x v="15"/>
    <n v="337"/>
    <n v="363.79"/>
    <n v="216.81"/>
    <n v="122597.23000000001"/>
    <n v="49532.260000000009"/>
    <n v="0.40402429973336268"/>
    <s v="2023-01"/>
    <n v="363.79"/>
  </r>
  <r>
    <s v="ORD0017"/>
    <x v="1"/>
    <x v="0"/>
    <s v="Electronics"/>
    <x v="0"/>
    <x v="0"/>
    <x v="16"/>
    <n v="260"/>
    <n v="298.67"/>
    <n v="251.92"/>
    <n v="77654.2"/>
    <n v="12155"/>
    <n v="0.15652727090099441"/>
    <s v="2023-01"/>
    <n v="298.67"/>
  </r>
  <r>
    <s v="ORD0018"/>
    <x v="1"/>
    <x v="1"/>
    <s v="Clothing"/>
    <x v="1"/>
    <x v="2"/>
    <x v="17"/>
    <n v="398"/>
    <n v="326.89999999999998"/>
    <n v="270.37"/>
    <n v="130106.2"/>
    <n v="22498.940000000002"/>
    <n v="0.17292750076475988"/>
    <s v="2023-01"/>
    <n v="326.89999999999998"/>
  </r>
  <r>
    <s v="ORD0019"/>
    <x v="1"/>
    <x v="2"/>
    <s v="Beverages"/>
    <x v="0"/>
    <x v="2"/>
    <x v="18"/>
    <n v="185"/>
    <n v="242.24"/>
    <n v="213.93"/>
    <n v="44814.400000000001"/>
    <n v="5237.3499999999985"/>
    <n v="0.11686756935270802"/>
    <s v="2023-01"/>
    <n v="242.24"/>
  </r>
  <r>
    <s v="ORD0020"/>
    <x v="0"/>
    <x v="1"/>
    <s v="Food"/>
    <x v="1"/>
    <x v="0"/>
    <x v="19"/>
    <n v="99"/>
    <n v="309.79000000000002"/>
    <n v="289.13"/>
    <n v="30669.210000000003"/>
    <n v="2045.3400000000038"/>
    <n v="6.6690338616482256E-2"/>
    <s v="2023-01"/>
    <n v="309.79000000000002"/>
  </r>
  <r>
    <s v="ORD0021"/>
    <x v="3"/>
    <x v="0"/>
    <s v="Electronics"/>
    <x v="1"/>
    <x v="2"/>
    <x v="20"/>
    <n v="411"/>
    <n v="167.86"/>
    <n v="58.23"/>
    <n v="68990.460000000006"/>
    <n v="45057.930000000008"/>
    <n v="0.65310377695698807"/>
    <s v="2023-01"/>
    <n v="167.86"/>
  </r>
  <r>
    <s v="ORD0022"/>
    <x v="2"/>
    <x v="4"/>
    <s v="Food"/>
    <x v="1"/>
    <x v="0"/>
    <x v="21"/>
    <n v="463"/>
    <n v="237.74"/>
    <n v="86.37"/>
    <n v="110073.62000000001"/>
    <n v="70084.31"/>
    <n v="0.63670396231176907"/>
    <s v="2023-01"/>
    <n v="237.74"/>
  </r>
  <r>
    <s v="ORD0023"/>
    <x v="3"/>
    <x v="4"/>
    <s v="Electronics"/>
    <x v="0"/>
    <x v="1"/>
    <x v="22"/>
    <n v="46"/>
    <n v="373.42"/>
    <n v="327.86"/>
    <n v="17177.32"/>
    <n v="2095.7599999999984"/>
    <n v="0.1220073911413421"/>
    <s v="2023-01"/>
    <n v="373.42"/>
  </r>
  <r>
    <s v="ORD0024"/>
    <x v="1"/>
    <x v="3"/>
    <s v="Electronics"/>
    <x v="1"/>
    <x v="2"/>
    <x v="23"/>
    <n v="325"/>
    <n v="436.56"/>
    <n v="130.37"/>
    <n v="141882"/>
    <n v="99511.75"/>
    <n v="0.70136980025655127"/>
    <s v="2023-01"/>
    <n v="436.56"/>
  </r>
  <r>
    <s v="ORD0025"/>
    <x v="1"/>
    <x v="1"/>
    <s v="Unknown"/>
    <x v="1"/>
    <x v="2"/>
    <x v="24"/>
    <n v="185"/>
    <n v="219.66"/>
    <n v="11.11"/>
    <n v="40637.1"/>
    <n v="38581.75"/>
    <n v="0.94942183374305744"/>
    <s v="2023-01"/>
    <n v="219.66"/>
  </r>
  <r>
    <s v="ORD0026"/>
    <x v="3"/>
    <x v="1"/>
    <s v="Beverages"/>
    <x v="1"/>
    <x v="0"/>
    <x v="25"/>
    <n v="470"/>
    <n v="26.61"/>
    <n v="63.21"/>
    <n v="12506.699999999999"/>
    <n v="-17202"/>
    <n v="-1.3754227733934612"/>
    <s v="2023-01"/>
    <n v="26.61"/>
  </r>
  <r>
    <s v="ORD0027"/>
    <x v="3"/>
    <x v="3"/>
    <s v="Furniture"/>
    <x v="0"/>
    <x v="2"/>
    <x v="26"/>
    <n v="293"/>
    <n v="85.03"/>
    <n v="91"/>
    <n v="24913.79"/>
    <n v="-1749.2099999999991"/>
    <n v="-7.0210513936257754E-2"/>
    <s v="2023-01"/>
    <n v="85.03"/>
  </r>
  <r>
    <s v="ORD0028"/>
    <x v="3"/>
    <x v="3"/>
    <s v="Food"/>
    <x v="0"/>
    <x v="2"/>
    <x v="27"/>
    <n v="462"/>
    <n v="249.64520588235297"/>
    <n v="383.01"/>
    <n v="115336.08511764708"/>
    <n v="-61614.53488235292"/>
    <n v="-0.5342173251285911"/>
    <s v="2023-01"/>
    <n v="249.64520588235297"/>
  </r>
  <r>
    <s v="ORD0029"/>
    <x v="1"/>
    <x v="3"/>
    <s v="Beverages"/>
    <x v="1"/>
    <x v="1"/>
    <x v="28"/>
    <n v="470"/>
    <n v="328.37"/>
    <n v="230.07"/>
    <n v="154333.9"/>
    <n v="46201"/>
    <n v="0.29935743216493593"/>
    <s v="2023-01"/>
    <n v="328.37"/>
  </r>
  <r>
    <s v="ORD0030"/>
    <x v="1"/>
    <x v="0"/>
    <s v="Beverages"/>
    <x v="0"/>
    <x v="2"/>
    <x v="29"/>
    <n v="90"/>
    <n v="169.5"/>
    <n v="373.23"/>
    <n v="15255"/>
    <n v="-18335.700000000004"/>
    <n v="-1.2019469026548675"/>
    <s v="2023-01"/>
    <n v="169.5"/>
  </r>
  <r>
    <s v="ORD0031"/>
    <x v="1"/>
    <x v="1"/>
    <s v="Beverages"/>
    <x v="0"/>
    <x v="1"/>
    <x v="30"/>
    <n v="123"/>
    <n v="273.52999999999997"/>
    <n v="230.92"/>
    <n v="33644.189999999995"/>
    <n v="5241.0299999999952"/>
    <n v="0.15577815961686092"/>
    <s v="2023-01"/>
    <n v="273.52999999999997"/>
  </r>
  <r>
    <s v="ORD0032"/>
    <x v="2"/>
    <x v="0"/>
    <s v="Beverages"/>
    <x v="0"/>
    <x v="0"/>
    <x v="31"/>
    <n v="49"/>
    <n v="249.17"/>
    <n v="192.78"/>
    <n v="12209.33"/>
    <n v="2763.1100000000006"/>
    <n v="0.226311353694265"/>
    <s v="2023-02"/>
    <n v="249.17"/>
  </r>
  <r>
    <s v="ORD0033"/>
    <x v="1"/>
    <x v="3"/>
    <s v="Beverages"/>
    <x v="0"/>
    <x v="2"/>
    <x v="32"/>
    <n v="310"/>
    <n v="45.36"/>
    <n v="126.86"/>
    <n v="14061.6"/>
    <n v="-25265"/>
    <n v="-1.7967372134038799"/>
    <s v="2023-02"/>
    <n v="45.36"/>
  </r>
  <r>
    <s v="ORD0034"/>
    <x v="3"/>
    <x v="1"/>
    <s v="Clothing"/>
    <x v="0"/>
    <x v="1"/>
    <x v="33"/>
    <n v="233"/>
    <n v="204.61"/>
    <n v="243.34"/>
    <n v="47674.130000000005"/>
    <n v="-9024.0899999999965"/>
    <n v="-0.18928693612237907"/>
    <s v="2023-02"/>
    <n v="204.61"/>
  </r>
  <r>
    <s v="ORD0035"/>
    <x v="3"/>
    <x v="0"/>
    <s v="Food"/>
    <x v="0"/>
    <x v="0"/>
    <x v="34"/>
    <n v="327"/>
    <n v="114.18"/>
    <n v="57.4"/>
    <n v="37336.86"/>
    <n v="18567.060000000001"/>
    <n v="0.4972849886144684"/>
    <s v="2023-02"/>
    <n v="114.18"/>
  </r>
  <r>
    <s v="ORD0036"/>
    <x v="2"/>
    <x v="0"/>
    <s v="Beverages"/>
    <x v="0"/>
    <x v="2"/>
    <x v="35"/>
    <n v="358"/>
    <n v="212.11"/>
    <n v="359.51"/>
    <n v="75935.38"/>
    <n v="-52769.2"/>
    <n v="-0.69492244590071184"/>
    <s v="2023-02"/>
    <n v="212.11"/>
  </r>
  <r>
    <s v="ORD0037"/>
    <x v="1"/>
    <x v="3"/>
    <s v="Food"/>
    <x v="0"/>
    <x v="0"/>
    <x v="36"/>
    <n v="124"/>
    <n v="249.64520588235297"/>
    <n v="332.07"/>
    <n v="30956.005529411766"/>
    <n v="-10220.674470588234"/>
    <n v="-0.33016774276246391"/>
    <s v="2023-02"/>
    <n v="249.64520588235297"/>
  </r>
  <r>
    <s v="ORD0038"/>
    <x v="2"/>
    <x v="1"/>
    <s v="Clothing"/>
    <x v="0"/>
    <x v="2"/>
    <x v="37"/>
    <n v="195"/>
    <n v="421.02"/>
    <n v="128.38"/>
    <n v="82098.899999999994"/>
    <n v="57064.799999999996"/>
    <n v="0.69507386822478745"/>
    <s v="2023-02"/>
    <n v="421.02"/>
  </r>
  <r>
    <s v="ORD0039"/>
    <x v="2"/>
    <x v="3"/>
    <s v="Clothing"/>
    <x v="0"/>
    <x v="0"/>
    <x v="38"/>
    <n v="255.90294117647059"/>
    <n v="91.23"/>
    <n v="381.21"/>
    <n v="23346.025323529411"/>
    <n v="-74206.734882352946"/>
    <n v="-3.1785596843143704"/>
    <s v="2023-02"/>
    <n v="91.23"/>
  </r>
  <r>
    <s v="ORD0040"/>
    <x v="0"/>
    <x v="1"/>
    <s v="Food"/>
    <x v="1"/>
    <x v="0"/>
    <x v="39"/>
    <n v="65"/>
    <n v="480.59"/>
    <n v="330.43"/>
    <n v="31238.35"/>
    <n v="9760.3999999999978"/>
    <n v="0.31244928109199105"/>
    <s v="2023-02"/>
    <n v="480.59"/>
  </r>
  <r>
    <s v="ORD0041"/>
    <x v="0"/>
    <x v="4"/>
    <s v="Electronics"/>
    <x v="1"/>
    <x v="1"/>
    <x v="40"/>
    <n v="49"/>
    <n v="210.87"/>
    <n v="267.19"/>
    <n v="10332.630000000001"/>
    <n v="-2759.6799999999985"/>
    <n v="-0.26708398539384437"/>
    <s v="2023-02"/>
    <n v="210.87000000000003"/>
  </r>
  <r>
    <s v="ORD0042"/>
    <x v="0"/>
    <x v="2"/>
    <s v="Furniture"/>
    <x v="0"/>
    <x v="0"/>
    <x v="41"/>
    <n v="363"/>
    <n v="423.89"/>
    <n v="50.46"/>
    <n v="153872.07"/>
    <n v="135555.09"/>
    <n v="0.88095968293661087"/>
    <s v="2023-02"/>
    <n v="423.89000000000004"/>
  </r>
  <r>
    <s v="ORD0043"/>
    <x v="3"/>
    <x v="2"/>
    <s v="Electronics"/>
    <x v="1"/>
    <x v="2"/>
    <x v="42"/>
    <n v="49"/>
    <n v="316.24"/>
    <n v="192.34"/>
    <n v="15495.76"/>
    <n v="6071.1"/>
    <n v="0.39179104477611942"/>
    <s v="2023-02"/>
    <n v="316.24"/>
  </r>
  <r>
    <s v="ORD0044"/>
    <x v="1"/>
    <x v="2"/>
    <s v="Electronics"/>
    <x v="1"/>
    <x v="2"/>
    <x v="43"/>
    <n v="356"/>
    <n v="369"/>
    <n v="203.43"/>
    <n v="131364"/>
    <n v="58942.92"/>
    <n v="0.44869918699186989"/>
    <s v="2023-02"/>
    <n v="369"/>
  </r>
  <r>
    <s v="ORD0045"/>
    <x v="1"/>
    <x v="3"/>
    <s v="Electronics"/>
    <x v="0"/>
    <x v="1"/>
    <x v="44"/>
    <n v="470"/>
    <n v="249.64520588235297"/>
    <n v="94.56"/>
    <n v="117333.24676470589"/>
    <n v="72890.046764705883"/>
    <n v="0.62122244781034541"/>
    <s v="2023-02"/>
    <n v="249.64520588235297"/>
  </r>
  <r>
    <s v="ORD0046"/>
    <x v="1"/>
    <x v="4"/>
    <s v="Beverages"/>
    <x v="0"/>
    <x v="2"/>
    <x v="45"/>
    <n v="246"/>
    <n v="254.9"/>
    <n v="33.83"/>
    <n v="62705.4"/>
    <n v="54383.22"/>
    <n v="0.86728128677912908"/>
    <s v="2023-02"/>
    <n v="254.9"/>
  </r>
  <r>
    <s v="ORD0047"/>
    <x v="1"/>
    <x v="1"/>
    <s v="Clothing"/>
    <x v="0"/>
    <x v="2"/>
    <x v="46"/>
    <n v="298"/>
    <n v="273.93"/>
    <n v="311.14"/>
    <n v="81631.14"/>
    <n v="-11088.580000000002"/>
    <n v="-0.1358376227503377"/>
    <s v="2023-02"/>
    <n v="273.93"/>
  </r>
  <r>
    <s v="ORD0048"/>
    <x v="0"/>
    <x v="0"/>
    <s v="Electronics"/>
    <x v="1"/>
    <x v="2"/>
    <x v="47"/>
    <n v="271"/>
    <n v="259.43"/>
    <n v="50.57"/>
    <n v="70305.53"/>
    <n v="56601.06"/>
    <n v="0.80507265929152372"/>
    <s v="2023-02"/>
    <n v="259.43"/>
  </r>
  <r>
    <s v="ORD0049"/>
    <x v="3"/>
    <x v="1"/>
    <s v="Clothing"/>
    <x v="1"/>
    <x v="0"/>
    <x v="48"/>
    <n v="225"/>
    <n v="296.08999999999997"/>
    <n v="238.53"/>
    <n v="66620.25"/>
    <n v="12951"/>
    <n v="0.19440035124455401"/>
    <s v="2023-02"/>
    <n v="296.08999999999997"/>
  </r>
  <r>
    <s v="ORD0050"/>
    <x v="1"/>
    <x v="0"/>
    <s v="Food"/>
    <x v="0"/>
    <x v="0"/>
    <x v="49"/>
    <n v="156"/>
    <n v="19.55"/>
    <n v="374.71"/>
    <n v="3049.8"/>
    <n v="-55404.959999999992"/>
    <n v="-18.166751918158564"/>
    <s v="2023-02"/>
    <n v="19.55"/>
  </r>
  <r>
    <s v="ORD0051"/>
    <x v="0"/>
    <x v="1"/>
    <s v="Furniture"/>
    <x v="0"/>
    <x v="2"/>
    <x v="50"/>
    <n v="345"/>
    <n v="200.78"/>
    <n v="350.69"/>
    <n v="69269.100000000006"/>
    <n v="-51718.95"/>
    <n v="-0.74663811136567382"/>
    <s v="2023-02"/>
    <n v="200.78000000000003"/>
  </r>
  <r>
    <s v="ORD0052"/>
    <x v="3"/>
    <x v="4"/>
    <s v="Food"/>
    <x v="0"/>
    <x v="1"/>
    <x v="51"/>
    <n v="177"/>
    <n v="305.06"/>
    <n v="112.55"/>
    <n v="53995.62"/>
    <n v="34074.270000000004"/>
    <n v="0.63105618566839317"/>
    <s v="2023-02"/>
    <n v="305.06"/>
  </r>
  <r>
    <s v="ORD0053"/>
    <x v="0"/>
    <x v="0"/>
    <s v="Food"/>
    <x v="1"/>
    <x v="0"/>
    <x v="52"/>
    <n v="101"/>
    <n v="300.87"/>
    <n v="340.88"/>
    <n v="30387.87"/>
    <n v="-4041.0099999999984"/>
    <n v="-0.1329810217037258"/>
    <s v="2023-02"/>
    <n v="300.87"/>
  </r>
  <r>
    <s v="ORD0054"/>
    <x v="1"/>
    <x v="3"/>
    <s v="Beverages"/>
    <x v="1"/>
    <x v="1"/>
    <x v="53"/>
    <n v="362"/>
    <n v="397.51"/>
    <n v="2.13"/>
    <n v="143898.62"/>
    <n v="143127.56"/>
    <n v="0.99464164423536516"/>
    <s v="2023-02"/>
    <n v="397.51"/>
  </r>
  <r>
    <s v="ORD0055"/>
    <x v="0"/>
    <x v="1"/>
    <s v="Furniture"/>
    <x v="1"/>
    <x v="2"/>
    <x v="54"/>
    <n v="68"/>
    <n v="329.23"/>
    <n v="9.0399999999999991"/>
    <n v="22387.64"/>
    <n v="21772.92"/>
    <n v="0.9725419919205418"/>
    <s v="2023-02"/>
    <n v="329.23"/>
  </r>
  <r>
    <s v="ORD0056"/>
    <x v="1"/>
    <x v="1"/>
    <s v="Food"/>
    <x v="1"/>
    <x v="2"/>
    <x v="55"/>
    <n v="68"/>
    <n v="496.11"/>
    <n v="241.82"/>
    <n v="33735.480000000003"/>
    <n v="17291.720000000005"/>
    <n v="0.51256777730745207"/>
    <s v="2023-02"/>
    <n v="496.11000000000007"/>
  </r>
  <r>
    <s v="ORD0057"/>
    <x v="1"/>
    <x v="0"/>
    <s v="Food"/>
    <x v="0"/>
    <x v="0"/>
    <x v="56"/>
    <n v="313"/>
    <n v="145.51"/>
    <n v="147.19"/>
    <n v="45544.63"/>
    <n v="-525.84000000000378"/>
    <n v="-1.1545598240670828E-2"/>
    <s v="2023-02"/>
    <n v="145.51"/>
  </r>
  <r>
    <s v="ORD0058"/>
    <x v="2"/>
    <x v="3"/>
    <s v="Furniture"/>
    <x v="0"/>
    <x v="2"/>
    <x v="57"/>
    <n v="178"/>
    <n v="182.78"/>
    <n v="155.81"/>
    <n v="32534.84"/>
    <n v="4800.66"/>
    <n v="0.14755443702812124"/>
    <s v="2023-02"/>
    <n v="182.78"/>
  </r>
  <r>
    <s v="ORD0059"/>
    <x v="0"/>
    <x v="3"/>
    <s v="Furniture"/>
    <x v="0"/>
    <x v="0"/>
    <x v="58"/>
    <n v="278"/>
    <n v="195"/>
    <n v="226.65"/>
    <n v="54210"/>
    <n v="-8798.7000000000044"/>
    <n v="-0.16230769230769237"/>
    <s v="2023-02"/>
    <n v="195"/>
  </r>
  <r>
    <s v="ORD0060"/>
    <x v="2"/>
    <x v="4"/>
    <s v="Food"/>
    <x v="0"/>
    <x v="2"/>
    <x v="59"/>
    <n v="372"/>
    <n v="235.58"/>
    <n v="78.33"/>
    <n v="87635.760000000009"/>
    <n v="58497.000000000015"/>
    <n v="0.66750148569488077"/>
    <s v="2023-03"/>
    <n v="235.58"/>
  </r>
  <r>
    <s v="ORD0061"/>
    <x v="0"/>
    <x v="3"/>
    <s v="Furniture"/>
    <x v="1"/>
    <x v="2"/>
    <x v="60"/>
    <n v="54"/>
    <n v="418.82"/>
    <n v="86.28"/>
    <n v="22616.28"/>
    <n v="17957.16"/>
    <n v="0.79399264600544395"/>
    <s v="2023-03"/>
    <n v="418.82"/>
  </r>
  <r>
    <s v="ORD0062"/>
    <x v="0"/>
    <x v="3"/>
    <s v="Food"/>
    <x v="1"/>
    <x v="0"/>
    <x v="61"/>
    <n v="354"/>
    <n v="121.72"/>
    <n v="194.87"/>
    <n v="43088.88"/>
    <n v="-25895.1"/>
    <n v="-0.60096943805455139"/>
    <s v="2023-03"/>
    <n v="121.72"/>
  </r>
  <r>
    <s v="ORD0063"/>
    <x v="2"/>
    <x v="3"/>
    <s v="Food"/>
    <x v="0"/>
    <x v="0"/>
    <x v="62"/>
    <n v="190"/>
    <n v="389.12"/>
    <n v="302.19"/>
    <n v="73932.800000000003"/>
    <n v="16516.700000000004"/>
    <n v="0.22340152138157901"/>
    <s v="2023-03"/>
    <n v="389.12"/>
  </r>
  <r>
    <s v="ORD0064"/>
    <x v="1"/>
    <x v="2"/>
    <s v="Beverages"/>
    <x v="0"/>
    <x v="0"/>
    <x v="63"/>
    <n v="179"/>
    <n v="205.63"/>
    <n v="248.56"/>
    <n v="36807.769999999997"/>
    <n v="-7684.4700000000012"/>
    <n v="-0.20877303895346014"/>
    <s v="2023-03"/>
    <n v="205.63"/>
  </r>
  <r>
    <s v="ORD0065"/>
    <x v="0"/>
    <x v="4"/>
    <s v="Electronics"/>
    <x v="1"/>
    <x v="2"/>
    <x v="64"/>
    <n v="365"/>
    <n v="302.92"/>
    <n v="120.35"/>
    <n v="110565.8"/>
    <n v="66638.05"/>
    <n v="0.60270038293938999"/>
    <s v="2023-03"/>
    <n v="302.92"/>
  </r>
  <r>
    <s v="ORD0066"/>
    <x v="3"/>
    <x v="1"/>
    <s v="Food"/>
    <x v="0"/>
    <x v="2"/>
    <x v="65"/>
    <n v="200"/>
    <n v="318.11"/>
    <n v="173.27"/>
    <n v="63622"/>
    <n v="28968"/>
    <n v="0.4553141994907422"/>
    <s v="2023-03"/>
    <n v="318.11"/>
  </r>
  <r>
    <s v="ORD0067"/>
    <x v="1"/>
    <x v="0"/>
    <s v="Clothing"/>
    <x v="1"/>
    <x v="1"/>
    <x v="66"/>
    <n v="164"/>
    <n v="189.56"/>
    <n v="69.92"/>
    <n v="31087.84"/>
    <n v="19620.96"/>
    <n v="0.63114581135260606"/>
    <s v="2023-03"/>
    <n v="189.56"/>
  </r>
  <r>
    <s v="ORD0068"/>
    <x v="2"/>
    <x v="1"/>
    <s v="Electronics"/>
    <x v="0"/>
    <x v="0"/>
    <x v="67"/>
    <n v="431"/>
    <n v="258.74"/>
    <n v="31.7"/>
    <n v="111516.94"/>
    <n v="97854.24"/>
    <n v="0.87748318775604861"/>
    <s v="2023-03"/>
    <n v="258.74"/>
  </r>
  <r>
    <s v="ORD0069"/>
    <x v="1"/>
    <x v="4"/>
    <s v="Electronics"/>
    <x v="0"/>
    <x v="2"/>
    <x v="68"/>
    <n v="197"/>
    <n v="209.45"/>
    <n v="313.51"/>
    <n v="41261.649999999994"/>
    <n v="-20499.820000000007"/>
    <n v="-0.4968250179040346"/>
    <s v="2023-03"/>
    <n v="209.44999999999996"/>
  </r>
  <r>
    <s v="ORD0070"/>
    <x v="3"/>
    <x v="0"/>
    <s v="Electronics"/>
    <x v="0"/>
    <x v="2"/>
    <x v="69"/>
    <n v="16"/>
    <n v="39.22"/>
    <n v="107.62"/>
    <n v="627.52"/>
    <n v="-1094.4000000000001"/>
    <n v="-1.744008159102499"/>
    <s v="2023-03"/>
    <n v="39.22"/>
  </r>
  <r>
    <s v="ORD0071"/>
    <x v="3"/>
    <x v="4"/>
    <s v="Beverages"/>
    <x v="0"/>
    <x v="0"/>
    <x v="70"/>
    <n v="142"/>
    <n v="221.4"/>
    <n v="72.75"/>
    <n v="31438.799999999999"/>
    <n v="21108.3"/>
    <n v="0.67140921409214094"/>
    <s v="2023-03"/>
    <n v="221.4"/>
  </r>
  <r>
    <s v="ORD0072"/>
    <x v="3"/>
    <x v="3"/>
    <s v="Food"/>
    <x v="0"/>
    <x v="1"/>
    <x v="71"/>
    <n v="244"/>
    <n v="53.21"/>
    <n v="277.26"/>
    <n v="12983.24"/>
    <n v="-54668.200000000004"/>
    <n v="-4.2106746852095478"/>
    <s v="2023-03"/>
    <n v="53.21"/>
  </r>
  <r>
    <s v="ORD0073"/>
    <x v="2"/>
    <x v="0"/>
    <s v="Beverages"/>
    <x v="0"/>
    <x v="0"/>
    <x v="72"/>
    <n v="54"/>
    <n v="205.49"/>
    <n v="247.98"/>
    <n v="11096.460000000001"/>
    <n v="-2294.4599999999991"/>
    <n v="-0.20677405226531695"/>
    <s v="2023-03"/>
    <n v="205.49"/>
  </r>
  <r>
    <s v="ORD0074"/>
    <x v="3"/>
    <x v="3"/>
    <s v="Food"/>
    <x v="0"/>
    <x v="1"/>
    <x v="73"/>
    <n v="323"/>
    <n v="298.49"/>
    <n v="254.01"/>
    <n v="96412.27"/>
    <n v="14367.040000000008"/>
    <n v="0.14901671747797254"/>
    <s v="2023-03"/>
    <n v="298.49"/>
  </r>
  <r>
    <s v="ORD0075"/>
    <x v="2"/>
    <x v="1"/>
    <s v="Beverages"/>
    <x v="1"/>
    <x v="2"/>
    <x v="74"/>
    <n v="258"/>
    <n v="291.81"/>
    <n v="93.1"/>
    <n v="75286.98"/>
    <n v="51267.179999999993"/>
    <n v="0.68095678695041284"/>
    <s v="2023-03"/>
    <n v="291.81"/>
  </r>
  <r>
    <s v="ORD0076"/>
    <x v="3"/>
    <x v="1"/>
    <s v="Beverages"/>
    <x v="1"/>
    <x v="1"/>
    <x v="75"/>
    <n v="40"/>
    <n v="333"/>
    <n v="94.59"/>
    <n v="13320"/>
    <n v="9536.4"/>
    <n v="0.71594594594594596"/>
    <s v="2023-03"/>
    <n v="333"/>
  </r>
  <r>
    <s v="ORD0077"/>
    <x v="1"/>
    <x v="0"/>
    <s v="Clothing"/>
    <x v="1"/>
    <x v="2"/>
    <x v="76"/>
    <n v="32"/>
    <n v="52.15"/>
    <n v="89.88"/>
    <n v="1668.8"/>
    <n v="-1207.3599999999999"/>
    <n v="-0.72348993288590602"/>
    <s v="2023-03"/>
    <n v="52.15"/>
  </r>
  <r>
    <s v="ORD0078"/>
    <x v="1"/>
    <x v="0"/>
    <s v="Beverages"/>
    <x v="1"/>
    <x v="0"/>
    <x v="77"/>
    <n v="435"/>
    <n v="327.8"/>
    <n v="71.150000000000006"/>
    <n v="142593"/>
    <n v="111642.75"/>
    <n v="0.78294691885295908"/>
    <s v="2023-03"/>
    <n v="327.8"/>
  </r>
  <r>
    <s v="ORD0079"/>
    <x v="0"/>
    <x v="4"/>
    <s v="Furniture"/>
    <x v="1"/>
    <x v="0"/>
    <x v="78"/>
    <n v="403"/>
    <n v="159.51"/>
    <n v="262.98"/>
    <n v="64282.53"/>
    <n v="-41698.410000000003"/>
    <n v="-0.64867406432198615"/>
    <s v="2023-03"/>
    <n v="159.51"/>
  </r>
  <r>
    <s v="ORD0080"/>
    <x v="1"/>
    <x v="4"/>
    <s v="Clothing"/>
    <x v="0"/>
    <x v="0"/>
    <x v="79"/>
    <n v="169"/>
    <n v="249.64520588235297"/>
    <n v="339.51"/>
    <n v="42190.039794117649"/>
    <n v="-15187.150205882346"/>
    <n v="-0.35997003747789347"/>
    <s v="2023-03"/>
    <n v="249.64520588235294"/>
  </r>
  <r>
    <s v="ORD0081"/>
    <x v="0"/>
    <x v="3"/>
    <s v="Beverages"/>
    <x v="0"/>
    <x v="1"/>
    <x v="80"/>
    <n v="372"/>
    <n v="429.7"/>
    <n v="290.27999999999997"/>
    <n v="159848.4"/>
    <n v="51864.240000000005"/>
    <n v="0.3244589248312777"/>
    <s v="2023-03"/>
    <n v="429.7"/>
  </r>
  <r>
    <s v="ORD0082"/>
    <x v="1"/>
    <x v="0"/>
    <s v="Electronics"/>
    <x v="1"/>
    <x v="2"/>
    <x v="81"/>
    <n v="446"/>
    <n v="9.4700000000000006"/>
    <n v="317.25"/>
    <n v="4223.62"/>
    <n v="-137269.88"/>
    <n v="-32.50052798310454"/>
    <s v="2023-03"/>
    <n v="9.4700000000000006"/>
  </r>
  <r>
    <s v="ORD0083"/>
    <x v="2"/>
    <x v="1"/>
    <s v="Furniture"/>
    <x v="0"/>
    <x v="0"/>
    <x v="82"/>
    <n v="167"/>
    <n v="296.26"/>
    <n v="163.11000000000001"/>
    <n v="49475.42"/>
    <n v="22236.049999999996"/>
    <n v="0.44943630594747852"/>
    <s v="2023-03"/>
    <n v="296.26"/>
  </r>
  <r>
    <s v="ORD0084"/>
    <x v="1"/>
    <x v="4"/>
    <s v="Furniture"/>
    <x v="1"/>
    <x v="0"/>
    <x v="83"/>
    <n v="48"/>
    <n v="301.36"/>
    <n v="262.32"/>
    <n v="14465.28"/>
    <n v="1873.92"/>
    <n v="0.12954605787098486"/>
    <s v="2023-03"/>
    <n v="301.36"/>
  </r>
  <r>
    <s v="ORD0085"/>
    <x v="0"/>
    <x v="4"/>
    <s v="Furniture"/>
    <x v="1"/>
    <x v="2"/>
    <x v="84"/>
    <n v="424"/>
    <n v="201.35"/>
    <n v="142.99"/>
    <n v="85372.4"/>
    <n v="24744.639999999992"/>
    <n v="0.28984355599702005"/>
    <s v="2023-03"/>
    <n v="201.35"/>
  </r>
  <r>
    <s v="ORD0086"/>
    <x v="0"/>
    <x v="1"/>
    <s v="Clothing"/>
    <x v="0"/>
    <x v="0"/>
    <x v="85"/>
    <n v="91"/>
    <n v="122.33"/>
    <n v="211.15"/>
    <n v="11132.03"/>
    <n v="-8082.6200000000008"/>
    <n v="-0.72606883021335733"/>
    <s v="2023-03"/>
    <n v="122.33000000000001"/>
  </r>
  <r>
    <s v="ORD0087"/>
    <x v="3"/>
    <x v="4"/>
    <s v="Beverages"/>
    <x v="0"/>
    <x v="2"/>
    <x v="86"/>
    <n v="365"/>
    <n v="121.16"/>
    <n v="193.69"/>
    <n v="44223.4"/>
    <n v="-26473.450000000004"/>
    <n v="-0.59862991086167061"/>
    <s v="2023-03"/>
    <n v="121.16000000000001"/>
  </r>
  <r>
    <s v="ORD0088"/>
    <x v="2"/>
    <x v="3"/>
    <s v="Beverages"/>
    <x v="0"/>
    <x v="2"/>
    <x v="87"/>
    <n v="267"/>
    <n v="442.44"/>
    <n v="72.400000000000006"/>
    <n v="118131.48"/>
    <n v="98800.68"/>
    <n v="0.83636199258656541"/>
    <s v="2023-03"/>
    <n v="442.44"/>
  </r>
  <r>
    <s v="ORD0089"/>
    <x v="1"/>
    <x v="0"/>
    <s v="Electronics"/>
    <x v="1"/>
    <x v="2"/>
    <x v="88"/>
    <n v="215"/>
    <n v="223.8"/>
    <n v="156.06"/>
    <n v="48117"/>
    <n v="14564.099999999999"/>
    <n v="0.30268096514745307"/>
    <s v="2023-03"/>
    <n v="223.8"/>
  </r>
  <r>
    <s v="ORD0090"/>
    <x v="3"/>
    <x v="1"/>
    <s v="Electronics"/>
    <x v="0"/>
    <x v="2"/>
    <x v="89"/>
    <n v="86"/>
    <n v="168.79"/>
    <n v="385.6"/>
    <n v="14515.939999999999"/>
    <n v="-18645.66"/>
    <n v="-1.284495526986196"/>
    <s v="2023-03"/>
    <n v="168.79"/>
  </r>
  <r>
    <s v="ORD0091"/>
    <x v="1"/>
    <x v="0"/>
    <s v="Furniture"/>
    <x v="1"/>
    <x v="2"/>
    <x v="90"/>
    <n v="486"/>
    <n v="227.14"/>
    <n v="100.93"/>
    <n v="110390.04"/>
    <n v="61338.05999999999"/>
    <n v="0.55564849872325428"/>
    <s v="2023-04"/>
    <n v="227.14"/>
  </r>
  <r>
    <s v="ORD0092"/>
    <x v="1"/>
    <x v="4"/>
    <s v="Electronics"/>
    <x v="1"/>
    <x v="1"/>
    <x v="91"/>
    <n v="21"/>
    <n v="249.64520588235297"/>
    <n v="55.25"/>
    <n v="5242.5493235294125"/>
    <n v="4082.2993235294125"/>
    <n v="0.77868591625974604"/>
    <s v="2023-04"/>
    <n v="249.64520588235297"/>
  </r>
  <r>
    <s v="ORD0093"/>
    <x v="3"/>
    <x v="4"/>
    <s v="Clothing"/>
    <x v="1"/>
    <x v="0"/>
    <x v="92"/>
    <n v="304"/>
    <n v="77.150000000000006"/>
    <n v="168.6"/>
    <n v="23453.600000000002"/>
    <n v="-27800.799999999999"/>
    <n v="-1.1853532080362927"/>
    <s v="2023-04"/>
    <n v="77.150000000000006"/>
  </r>
  <r>
    <s v="ORD0094"/>
    <x v="3"/>
    <x v="1"/>
    <s v="Beverages"/>
    <x v="0"/>
    <x v="1"/>
    <x v="93"/>
    <n v="459"/>
    <n v="227.47"/>
    <n v="316.55"/>
    <n v="104408.73"/>
    <n v="-40887.720000000016"/>
    <n v="-0.39161208071394049"/>
    <s v="2023-04"/>
    <n v="227.47"/>
  </r>
  <r>
    <s v="ORD0095"/>
    <x v="3"/>
    <x v="3"/>
    <s v="Furniture"/>
    <x v="0"/>
    <x v="0"/>
    <x v="94"/>
    <n v="233"/>
    <n v="296"/>
    <n v="233.69"/>
    <n v="68968"/>
    <n v="14518.230000000003"/>
    <n v="0.21050675675675681"/>
    <s v="2023-04"/>
    <n v="296"/>
  </r>
  <r>
    <s v="ORD0096"/>
    <x v="3"/>
    <x v="2"/>
    <s v="Electronics"/>
    <x v="1"/>
    <x v="1"/>
    <x v="95"/>
    <n v="22"/>
    <n v="474.55"/>
    <n v="273.02999999999997"/>
    <n v="10440.1"/>
    <n v="4433.4400000000005"/>
    <n v="0.42465493625539991"/>
    <s v="2023-04"/>
    <n v="474.55"/>
  </r>
  <r>
    <s v="ORD0097"/>
    <x v="3"/>
    <x v="1"/>
    <s v="Clothing"/>
    <x v="0"/>
    <x v="2"/>
    <x v="96"/>
    <n v="55"/>
    <n v="130"/>
    <n v="77.5"/>
    <n v="7150"/>
    <n v="2887.5"/>
    <n v="0.40384615384615385"/>
    <s v="2023-04"/>
    <n v="130"/>
  </r>
  <r>
    <s v="ORD0098"/>
    <x v="1"/>
    <x v="2"/>
    <s v="Clothing"/>
    <x v="0"/>
    <x v="0"/>
    <x v="97"/>
    <n v="164"/>
    <n v="182.83"/>
    <n v="248.34"/>
    <n v="29984.120000000003"/>
    <n v="-10743.64"/>
    <n v="-0.35831099928895688"/>
    <s v="2023-04"/>
    <n v="182.83"/>
  </r>
  <r>
    <s v="ORD0099"/>
    <x v="3"/>
    <x v="2"/>
    <s v="Electronics"/>
    <x v="0"/>
    <x v="0"/>
    <x v="98"/>
    <n v="122"/>
    <n v="192.78"/>
    <n v="130.75"/>
    <n v="23519.16"/>
    <n v="7567.66"/>
    <n v="0.3217657433343708"/>
    <s v="2023-04"/>
    <n v="192.78"/>
  </r>
  <r>
    <s v="ORD0100"/>
    <x v="2"/>
    <x v="3"/>
    <s v="Beverages"/>
    <x v="1"/>
    <x v="1"/>
    <x v="99"/>
    <n v="242"/>
    <n v="304.74"/>
    <n v="334.05"/>
    <n v="73747.08"/>
    <n v="-7093.0200000000041"/>
    <n v="-9.6180350462689565E-2"/>
    <s v="2023-04"/>
    <n v="304.74"/>
  </r>
  <r>
    <s v="ORD0101"/>
    <x v="0"/>
    <x v="2"/>
    <s v="Electronics"/>
    <x v="1"/>
    <x v="1"/>
    <x v="100"/>
    <n v="26"/>
    <n v="181.58"/>
    <n v="252.46"/>
    <n v="4721.08"/>
    <n v="-1842.88"/>
    <n v="-0.39035136028196943"/>
    <s v="2023-04"/>
    <n v="181.57999999999998"/>
  </r>
  <r>
    <s v="ORD0102"/>
    <x v="3"/>
    <x v="2"/>
    <s v="Furniture"/>
    <x v="0"/>
    <x v="0"/>
    <x v="101"/>
    <n v="369"/>
    <n v="269.08999999999997"/>
    <n v="81.14"/>
    <n v="99294.209999999992"/>
    <n v="69353.549999999988"/>
    <n v="0.69846519751755909"/>
    <s v="2023-04"/>
    <n v="269.08999999999997"/>
  </r>
  <r>
    <s v="ORD0103"/>
    <x v="3"/>
    <x v="3"/>
    <s v="Electronics"/>
    <x v="1"/>
    <x v="1"/>
    <x v="102"/>
    <n v="232"/>
    <n v="391.99"/>
    <n v="27.72"/>
    <n v="90941.680000000008"/>
    <n v="84510.640000000014"/>
    <n v="0.92928391030383439"/>
    <s v="2023-04"/>
    <n v="391.99"/>
  </r>
  <r>
    <s v="ORD0104"/>
    <x v="1"/>
    <x v="2"/>
    <s v="Clothing"/>
    <x v="0"/>
    <x v="1"/>
    <x v="103"/>
    <n v="363"/>
    <n v="354.17"/>
    <n v="18.97"/>
    <n v="128563.71"/>
    <n v="121677.6"/>
    <n v="0.94643815117034191"/>
    <s v="2023-04"/>
    <n v="354.17"/>
  </r>
  <r>
    <s v="ORD0105"/>
    <x v="3"/>
    <x v="2"/>
    <s v="Electronics"/>
    <x v="0"/>
    <x v="1"/>
    <x v="104"/>
    <n v="197"/>
    <n v="225.95"/>
    <n v="149.82"/>
    <n v="44512.149999999994"/>
    <n v="14997.609999999997"/>
    <n v="0.3369329497676477"/>
    <s v="2023-04"/>
    <n v="225.94999999999996"/>
  </r>
  <r>
    <s v="ORD0106"/>
    <x v="3"/>
    <x v="2"/>
    <s v="Beverages"/>
    <x v="0"/>
    <x v="2"/>
    <x v="105"/>
    <n v="457"/>
    <n v="432.79"/>
    <n v="107.81"/>
    <n v="197785.03"/>
    <n v="148515.85999999999"/>
    <n v="0.75089535340465341"/>
    <s v="2023-04"/>
    <n v="432.79"/>
  </r>
  <r>
    <s v="ORD0107"/>
    <x v="3"/>
    <x v="1"/>
    <s v="Food"/>
    <x v="0"/>
    <x v="2"/>
    <x v="106"/>
    <n v="353"/>
    <n v="281.27999999999997"/>
    <n v="259.14"/>
    <n v="99291.839999999997"/>
    <n v="7815.4199999999983"/>
    <n v="7.8711604095563131E-2"/>
    <s v="2023-04"/>
    <n v="281.27999999999997"/>
  </r>
  <r>
    <s v="ORD0108"/>
    <x v="1"/>
    <x v="1"/>
    <s v="Electronics"/>
    <x v="1"/>
    <x v="1"/>
    <x v="107"/>
    <n v="374"/>
    <n v="272.25"/>
    <n v="200.73"/>
    <n v="101821.5"/>
    <n v="26748.48000000001"/>
    <n v="0.26269972451790646"/>
    <s v="2023-04"/>
    <n v="272.25"/>
  </r>
  <r>
    <s v="ORD0109"/>
    <x v="3"/>
    <x v="1"/>
    <s v="Beverages"/>
    <x v="1"/>
    <x v="1"/>
    <x v="108"/>
    <n v="172"/>
    <n v="21.92"/>
    <n v="107.88"/>
    <n v="3770.2400000000002"/>
    <n v="-14785.12"/>
    <n v="-3.9215328467153285"/>
    <s v="2023-04"/>
    <n v="21.92"/>
  </r>
  <r>
    <s v="ORD0110"/>
    <x v="0"/>
    <x v="3"/>
    <s v="Beverages"/>
    <x v="1"/>
    <x v="2"/>
    <x v="109"/>
    <n v="335"/>
    <n v="493.41"/>
    <n v="61.4"/>
    <n v="165292.35"/>
    <n v="144723.35"/>
    <n v="0.87555987920796097"/>
    <s v="2023-04"/>
    <n v="493.41"/>
  </r>
  <r>
    <s v="ORD0111"/>
    <x v="1"/>
    <x v="4"/>
    <s v="Clothing"/>
    <x v="0"/>
    <x v="2"/>
    <x v="110"/>
    <n v="476"/>
    <n v="65.87"/>
    <n v="52.63"/>
    <n v="31354.120000000003"/>
    <n v="6302.2400000000016"/>
    <n v="0.2010019735843328"/>
    <s v="2023-04"/>
    <n v="65.87"/>
  </r>
  <r>
    <s v="ORD0112"/>
    <x v="0"/>
    <x v="2"/>
    <s v="Beverages"/>
    <x v="0"/>
    <x v="0"/>
    <x v="111"/>
    <n v="423"/>
    <n v="119.41"/>
    <n v="346.13"/>
    <n v="50510.43"/>
    <n v="-95902.56"/>
    <n v="-1.8986684532283729"/>
    <s v="2023-04"/>
    <n v="119.41"/>
  </r>
  <r>
    <s v="ORD0113"/>
    <x v="1"/>
    <x v="2"/>
    <s v="Beverages"/>
    <x v="0"/>
    <x v="0"/>
    <x v="112"/>
    <n v="464"/>
    <n v="30.59"/>
    <n v="98.9"/>
    <n v="14193.76"/>
    <n v="-31695.840000000004"/>
    <n v="-2.2330827067669174"/>
    <s v="2023-04"/>
    <n v="30.59"/>
  </r>
  <r>
    <s v="ORD0114"/>
    <x v="3"/>
    <x v="3"/>
    <s v="Beverages"/>
    <x v="1"/>
    <x v="2"/>
    <x v="113"/>
    <n v="83"/>
    <n v="321.8"/>
    <n v="261.38"/>
    <n v="26709.4"/>
    <n v="5014.8600000000006"/>
    <n v="0.18775637041640772"/>
    <s v="2023-04"/>
    <n v="321.8"/>
  </r>
  <r>
    <s v="ORD0115"/>
    <x v="0"/>
    <x v="2"/>
    <s v="Beverages"/>
    <x v="0"/>
    <x v="1"/>
    <x v="114"/>
    <n v="242"/>
    <n v="116.23"/>
    <n v="324.64999999999998"/>
    <n v="28127.66"/>
    <n v="-50437.639999999985"/>
    <n v="-1.7931687171986572"/>
    <s v="2023-04"/>
    <n v="116.23"/>
  </r>
  <r>
    <s v="ORD0116"/>
    <x v="1"/>
    <x v="1"/>
    <s v="Furniture"/>
    <x v="1"/>
    <x v="1"/>
    <x v="115"/>
    <n v="233"/>
    <n v="94.11"/>
    <n v="246.4"/>
    <n v="21927.63"/>
    <n v="-35483.570000000007"/>
    <n v="-1.6182127297842952"/>
    <s v="2023-04"/>
    <n v="94.11"/>
  </r>
  <r>
    <s v="ORD0117"/>
    <x v="2"/>
    <x v="4"/>
    <s v="Furniture"/>
    <x v="1"/>
    <x v="1"/>
    <x v="116"/>
    <n v="491"/>
    <n v="48.84"/>
    <n v="344.11"/>
    <n v="23980.440000000002"/>
    <n v="-144977.57"/>
    <n v="-6.0456592956592949"/>
    <s v="2023-04"/>
    <n v="48.84"/>
  </r>
  <r>
    <s v="ORD0118"/>
    <x v="1"/>
    <x v="0"/>
    <s v="Clothing"/>
    <x v="1"/>
    <x v="1"/>
    <x v="117"/>
    <n v="328"/>
    <n v="56.14"/>
    <n v="158.16999999999999"/>
    <n v="18413.920000000002"/>
    <n v="-33465.839999999997"/>
    <n v="-1.8174207338795865"/>
    <s v="2023-04"/>
    <n v="56.140000000000008"/>
  </r>
  <r>
    <s v="ORD0119"/>
    <x v="1"/>
    <x v="2"/>
    <s v="Electronics"/>
    <x v="1"/>
    <x v="0"/>
    <x v="118"/>
    <n v="421"/>
    <n v="294.41000000000003"/>
    <n v="382.58"/>
    <n v="123946.61000000002"/>
    <n v="-37119.569999999978"/>
    <n v="-0.29948031656533386"/>
    <s v="2023-04"/>
    <n v="294.41000000000003"/>
  </r>
  <r>
    <s v="ORD0120"/>
    <x v="2"/>
    <x v="1"/>
    <s v="Beverages"/>
    <x v="1"/>
    <x v="2"/>
    <x v="119"/>
    <n v="69"/>
    <n v="345.66"/>
    <n v="54.99"/>
    <n v="23850.54"/>
    <n v="20056.23"/>
    <n v="0.84091303593126188"/>
    <s v="2023-04"/>
    <n v="345.66"/>
  </r>
  <r>
    <s v="ORD0121"/>
    <x v="1"/>
    <x v="0"/>
    <s v="Electronics"/>
    <x v="1"/>
    <x v="1"/>
    <x v="120"/>
    <n v="344"/>
    <n v="201.7"/>
    <n v="42.66"/>
    <n v="69384.800000000003"/>
    <n v="54709.760000000002"/>
    <n v="0.78849776896380763"/>
    <s v="2023-05"/>
    <n v="201.70000000000002"/>
  </r>
  <r>
    <s v="ORD0122"/>
    <x v="1"/>
    <x v="4"/>
    <s v="Electronics"/>
    <x v="0"/>
    <x v="0"/>
    <x v="121"/>
    <n v="231"/>
    <n v="242.55"/>
    <n v="264.16000000000003"/>
    <n v="56029.05"/>
    <n v="-4991.9100000000035"/>
    <n v="-8.9095031952174872E-2"/>
    <s v="2023-05"/>
    <n v="242.55"/>
  </r>
  <r>
    <s v="ORD0123"/>
    <x v="3"/>
    <x v="0"/>
    <s v="Clothing"/>
    <x v="0"/>
    <x v="1"/>
    <x v="122"/>
    <n v="46"/>
    <n v="344.55"/>
    <n v="377.25"/>
    <n v="15849.300000000001"/>
    <n v="-1504.1999999999989"/>
    <n v="-9.4906399651719556E-2"/>
    <s v="2023-05"/>
    <n v="344.55"/>
  </r>
  <r>
    <s v="ORD0124"/>
    <x v="0"/>
    <x v="1"/>
    <s v="Beverages"/>
    <x v="1"/>
    <x v="2"/>
    <x v="123"/>
    <n v="486"/>
    <n v="13.6"/>
    <n v="323.94"/>
    <n v="6609.5999999999995"/>
    <n v="-150825.24"/>
    <n v="-22.819117647058825"/>
    <s v="2023-05"/>
    <n v="13.6"/>
  </r>
  <r>
    <s v="ORD0125"/>
    <x v="2"/>
    <x v="0"/>
    <s v="Beverages"/>
    <x v="1"/>
    <x v="0"/>
    <x v="124"/>
    <n v="287"/>
    <n v="164.95"/>
    <n v="32.409999999999997"/>
    <n v="47340.649999999994"/>
    <n v="38038.979999999996"/>
    <n v="0.80351621703546527"/>
    <s v="2023-05"/>
    <n v="164.95"/>
  </r>
  <r>
    <s v="ORD0126"/>
    <x v="1"/>
    <x v="3"/>
    <s v="Food"/>
    <x v="0"/>
    <x v="2"/>
    <x v="125"/>
    <n v="205"/>
    <n v="486.68"/>
    <n v="113.19"/>
    <n v="99769.4"/>
    <n v="76565.45"/>
    <n v="0.76742418015944769"/>
    <s v="2023-05"/>
    <n v="486.67999999999995"/>
  </r>
  <r>
    <s v="ORD0127"/>
    <x v="3"/>
    <x v="0"/>
    <s v="Electronics"/>
    <x v="1"/>
    <x v="2"/>
    <x v="126"/>
    <n v="413"/>
    <n v="292.16000000000003"/>
    <n v="372.27"/>
    <n v="120662.08000000002"/>
    <n v="-33085.429999999964"/>
    <n v="-0.27419906900328556"/>
    <s v="2023-05"/>
    <n v="292.16000000000003"/>
  </r>
  <r>
    <s v="ORD0128"/>
    <x v="2"/>
    <x v="2"/>
    <s v="Electronics"/>
    <x v="1"/>
    <x v="0"/>
    <x v="127"/>
    <n v="361"/>
    <n v="130.84"/>
    <n v="102.72"/>
    <n v="47233.24"/>
    <n v="10151.32"/>
    <n v="0.21491898501987161"/>
    <s v="2023-05"/>
    <n v="130.84"/>
  </r>
  <r>
    <s v="ORD0129"/>
    <x v="1"/>
    <x v="2"/>
    <s v="Furniture"/>
    <x v="0"/>
    <x v="0"/>
    <x v="128"/>
    <n v="493"/>
    <n v="263.26"/>
    <n v="312.91000000000003"/>
    <n v="129787.18"/>
    <n v="-24477.450000000012"/>
    <n v="-0.18859682443212045"/>
    <s v="2023-05"/>
    <n v="263.26"/>
  </r>
  <r>
    <s v="ORD0130"/>
    <x v="1"/>
    <x v="3"/>
    <s v="Food"/>
    <x v="1"/>
    <x v="0"/>
    <x v="129"/>
    <n v="251"/>
    <n v="174.61"/>
    <n v="330.4"/>
    <n v="43827.11"/>
    <n v="-39103.289999999994"/>
    <n v="-0.89221694061050327"/>
    <s v="2023-05"/>
    <n v="174.61"/>
  </r>
  <r>
    <s v="ORD0131"/>
    <x v="1"/>
    <x v="1"/>
    <s v="Furniture"/>
    <x v="1"/>
    <x v="0"/>
    <x v="130"/>
    <n v="255.90294117647059"/>
    <n v="268.45999999999998"/>
    <n v="199.19"/>
    <n v="68699.703588235294"/>
    <n v="17726.396735294118"/>
    <n v="0.25802726663190045"/>
    <s v="2023-05"/>
    <n v="268.45999999999998"/>
  </r>
  <r>
    <s v="ORD0132"/>
    <x v="2"/>
    <x v="2"/>
    <s v="Furniture"/>
    <x v="1"/>
    <x v="0"/>
    <x v="131"/>
    <n v="228"/>
    <n v="67.239999999999995"/>
    <n v="155.77000000000001"/>
    <n v="15330.72"/>
    <n v="-20184.840000000004"/>
    <n v="-1.3166270077334923"/>
    <s v="2023-05"/>
    <n v="67.239999999999995"/>
  </r>
  <r>
    <s v="ORD0133"/>
    <x v="2"/>
    <x v="4"/>
    <s v="Furniture"/>
    <x v="0"/>
    <x v="0"/>
    <x v="132"/>
    <n v="201"/>
    <n v="70.69"/>
    <n v="181.15"/>
    <n v="14208.689999999999"/>
    <n v="-22202.460000000003"/>
    <n v="-1.5625972556231436"/>
    <s v="2023-05"/>
    <n v="70.69"/>
  </r>
  <r>
    <s v="ORD0134"/>
    <x v="2"/>
    <x v="2"/>
    <s v="Clothing"/>
    <x v="0"/>
    <x v="0"/>
    <x v="133"/>
    <n v="26"/>
    <n v="76.05"/>
    <n v="92.33"/>
    <n v="1977.3"/>
    <n v="-423.28"/>
    <n v="-0.2140696909927679"/>
    <s v="2023-05"/>
    <n v="76.05"/>
  </r>
  <r>
    <s v="ORD0135"/>
    <x v="0"/>
    <x v="2"/>
    <s v="Clothing"/>
    <x v="0"/>
    <x v="1"/>
    <x v="134"/>
    <n v="21"/>
    <n v="470.21"/>
    <n v="355.98"/>
    <n v="9874.41"/>
    <n v="2398.83"/>
    <n v="0.24293400820909805"/>
    <s v="2023-05"/>
    <n v="470.21"/>
  </r>
  <r>
    <s v="ORD0136"/>
    <x v="2"/>
    <x v="1"/>
    <s v="Furniture"/>
    <x v="1"/>
    <x v="2"/>
    <x v="135"/>
    <n v="415"/>
    <n v="367.78"/>
    <n v="181.35"/>
    <n v="152628.69999999998"/>
    <n v="77368.449999999983"/>
    <n v="0.50690630268095049"/>
    <s v="2023-05"/>
    <n v="367.78"/>
  </r>
  <r>
    <s v="ORD0137"/>
    <x v="2"/>
    <x v="0"/>
    <s v="Food"/>
    <x v="1"/>
    <x v="0"/>
    <x v="136"/>
    <n v="410"/>
    <n v="85.38"/>
    <n v="353.22"/>
    <n v="35005.799999999996"/>
    <n v="-109814.40000000002"/>
    <n v="-3.1370344342937466"/>
    <s v="2023-05"/>
    <n v="85.38"/>
  </r>
  <r>
    <s v="ORD0138"/>
    <x v="2"/>
    <x v="2"/>
    <s v="Electronics"/>
    <x v="0"/>
    <x v="1"/>
    <x v="137"/>
    <n v="403"/>
    <n v="98.23"/>
    <n v="44.07"/>
    <n v="39586.69"/>
    <n v="21826.480000000003"/>
    <n v="0.55135905527842821"/>
    <s v="2023-05"/>
    <n v="98.23"/>
  </r>
  <r>
    <s v="ORD0139"/>
    <x v="0"/>
    <x v="3"/>
    <s v="Food"/>
    <x v="1"/>
    <x v="1"/>
    <x v="138"/>
    <n v="383"/>
    <n v="366.76"/>
    <n v="395.33"/>
    <n v="140469.07999999999"/>
    <n v="-10942.309999999998"/>
    <n v="-7.7898353146471797E-2"/>
    <s v="2023-05"/>
    <n v="366.76"/>
  </r>
  <r>
    <s v="ORD0140"/>
    <x v="2"/>
    <x v="0"/>
    <s v="Beverages"/>
    <x v="1"/>
    <x v="1"/>
    <x v="139"/>
    <n v="202"/>
    <n v="82.3"/>
    <n v="178.42"/>
    <n v="16624.599999999999"/>
    <n v="-19416.239999999998"/>
    <n v="-1.1679222357229648"/>
    <s v="2023-05"/>
    <n v="82.3"/>
  </r>
  <r>
    <s v="ORD0141"/>
    <x v="1"/>
    <x v="4"/>
    <s v="Clothing"/>
    <x v="1"/>
    <x v="2"/>
    <x v="140"/>
    <n v="31"/>
    <n v="121.11"/>
    <n v="21.04"/>
    <n v="3754.41"/>
    <n v="3102.17"/>
    <n v="0.82627363553794075"/>
    <s v="2023-05"/>
    <n v="121.11"/>
  </r>
  <r>
    <s v="ORD0142"/>
    <x v="2"/>
    <x v="1"/>
    <s v="Electronics"/>
    <x v="1"/>
    <x v="0"/>
    <x v="141"/>
    <n v="483"/>
    <n v="481.86"/>
    <n v="17.13"/>
    <n v="232738.38"/>
    <n v="224464.59"/>
    <n v="0.96445025526086414"/>
    <s v="2023-05"/>
    <n v="481.86"/>
  </r>
  <r>
    <s v="ORD0143"/>
    <x v="1"/>
    <x v="4"/>
    <s v="Electronics"/>
    <x v="1"/>
    <x v="1"/>
    <x v="142"/>
    <n v="129"/>
    <n v="131.38"/>
    <n v="298.99"/>
    <n v="16948.02"/>
    <n v="-21621.69"/>
    <n v="-1.2757649566144009"/>
    <s v="2023-05"/>
    <n v="131.38"/>
  </r>
  <r>
    <s v="ORD0144"/>
    <x v="1"/>
    <x v="0"/>
    <s v="Beverages"/>
    <x v="0"/>
    <x v="2"/>
    <x v="143"/>
    <n v="219"/>
    <n v="332.51"/>
    <n v="264.3"/>
    <n v="72819.69"/>
    <n v="14937.989999999998"/>
    <n v="0.20513668761841747"/>
    <s v="2023-05"/>
    <n v="332.51"/>
  </r>
  <r>
    <s v="ORD0145"/>
    <x v="1"/>
    <x v="0"/>
    <s v="Beverages"/>
    <x v="1"/>
    <x v="2"/>
    <x v="144"/>
    <n v="315"/>
    <n v="489.42"/>
    <n v="321.25"/>
    <n v="154167.30000000002"/>
    <n v="52973.550000000017"/>
    <n v="0.34361080462588378"/>
    <s v="2023-05"/>
    <n v="489.42000000000007"/>
  </r>
  <r>
    <s v="ORD0146"/>
    <x v="0"/>
    <x v="0"/>
    <s v="Furniture"/>
    <x v="0"/>
    <x v="2"/>
    <x v="145"/>
    <n v="279"/>
    <n v="190.28"/>
    <n v="43.94"/>
    <n v="53088.12"/>
    <n v="40828.86"/>
    <n v="0.76907714946394778"/>
    <s v="2023-05"/>
    <n v="190.28"/>
  </r>
  <r>
    <s v="ORD0147"/>
    <x v="0"/>
    <x v="4"/>
    <s v="Clothing"/>
    <x v="1"/>
    <x v="1"/>
    <x v="146"/>
    <n v="201"/>
    <n v="13.67"/>
    <n v="16.16"/>
    <n v="2747.67"/>
    <n v="-500.48999999999978"/>
    <n v="-0.18215069495245054"/>
    <s v="2023-05"/>
    <n v="13.67"/>
  </r>
  <r>
    <s v="ORD0148"/>
    <x v="0"/>
    <x v="0"/>
    <s v="Clothing"/>
    <x v="0"/>
    <x v="0"/>
    <x v="147"/>
    <n v="184"/>
    <n v="125.85"/>
    <n v="204.41"/>
    <n v="23156.399999999998"/>
    <n v="-14455.040000000005"/>
    <n v="-0.62423520063567761"/>
    <s v="2023-05"/>
    <n v="125.85"/>
  </r>
  <r>
    <s v="ORD0149"/>
    <x v="2"/>
    <x v="4"/>
    <s v="Food"/>
    <x v="1"/>
    <x v="1"/>
    <x v="148"/>
    <n v="294"/>
    <n v="416.28"/>
    <n v="156.26"/>
    <n v="122386.31999999999"/>
    <n v="76445.88"/>
    <n v="0.62462765446334201"/>
    <s v="2023-05"/>
    <n v="416.28"/>
  </r>
  <r>
    <s v="ORD0150"/>
    <x v="1"/>
    <x v="0"/>
    <s v="Furniture"/>
    <x v="0"/>
    <x v="1"/>
    <x v="149"/>
    <n v="213"/>
    <n v="432.98"/>
    <n v="185.85"/>
    <n v="92224.74"/>
    <n v="52638.69000000001"/>
    <n v="0.57076539332070775"/>
    <s v="2023-05"/>
    <n v="432.98"/>
  </r>
  <r>
    <s v="ORD0151"/>
    <x v="0"/>
    <x v="3"/>
    <s v="Furniture"/>
    <x v="1"/>
    <x v="0"/>
    <x v="150"/>
    <n v="173"/>
    <n v="385.42"/>
    <n v="396.65"/>
    <n v="66677.66"/>
    <n v="-1942.7899999999936"/>
    <n v="-2.9137045301229729E-2"/>
    <s v="2023-05"/>
    <n v="385.42"/>
  </r>
  <r>
    <s v="ORD0152"/>
    <x v="0"/>
    <x v="0"/>
    <s v="Furniture"/>
    <x v="0"/>
    <x v="0"/>
    <x v="151"/>
    <n v="260"/>
    <n v="60.99"/>
    <n v="388.36"/>
    <n v="15857.4"/>
    <n v="-85116.200000000012"/>
    <n v="-5.3676012461059202"/>
    <s v="2023-06"/>
    <n v="60.99"/>
  </r>
  <r>
    <s v="ORD0153"/>
    <x v="2"/>
    <x v="4"/>
    <s v="Furniture"/>
    <x v="1"/>
    <x v="0"/>
    <x v="152"/>
    <n v="236"/>
    <n v="398.78"/>
    <n v="377.04"/>
    <n v="94112.079999999987"/>
    <n v="5130.6399999999849"/>
    <n v="5.4516274637644663E-2"/>
    <s v="2023-06"/>
    <n v="398.78"/>
  </r>
  <r>
    <s v="ORD0154"/>
    <x v="0"/>
    <x v="2"/>
    <s v="Clothing"/>
    <x v="0"/>
    <x v="2"/>
    <x v="153"/>
    <n v="445"/>
    <n v="459.75"/>
    <n v="313.97000000000003"/>
    <n v="204588.75"/>
    <n v="64872.099999999977"/>
    <n v="0.31708537248504609"/>
    <s v="2023-06"/>
    <n v="459.75"/>
  </r>
  <r>
    <s v="ORD0155"/>
    <x v="2"/>
    <x v="0"/>
    <s v="Clothing"/>
    <x v="1"/>
    <x v="0"/>
    <x v="154"/>
    <n v="390"/>
    <n v="302.3"/>
    <n v="143.22999999999999"/>
    <n v="117897"/>
    <n v="62037.3"/>
    <n v="0.52619913992722467"/>
    <s v="2023-06"/>
    <n v="302.3"/>
  </r>
  <r>
    <s v="ORD0156"/>
    <x v="3"/>
    <x v="2"/>
    <s v="Furniture"/>
    <x v="0"/>
    <x v="1"/>
    <x v="155"/>
    <n v="469"/>
    <n v="470.73"/>
    <n v="166.03"/>
    <n v="220772.37"/>
    <n v="142904.29999999999"/>
    <n v="0.64729250313343101"/>
    <s v="2023-06"/>
    <n v="470.73"/>
  </r>
  <r>
    <s v="ORD0157"/>
    <x v="0"/>
    <x v="3"/>
    <s v="Food"/>
    <x v="0"/>
    <x v="0"/>
    <x v="156"/>
    <n v="16"/>
    <n v="249.64520588235297"/>
    <n v="220.75"/>
    <n v="3994.3232941176475"/>
    <n v="462.32329411764749"/>
    <n v="0.11574508623237906"/>
    <s v="2023-06"/>
    <n v="249.64520588235297"/>
  </r>
  <r>
    <s v="ORD0158"/>
    <x v="3"/>
    <x v="1"/>
    <s v="Electronics"/>
    <x v="1"/>
    <x v="1"/>
    <x v="157"/>
    <n v="38"/>
    <n v="335.15"/>
    <n v="332.55"/>
    <n v="12735.699999999999"/>
    <n v="98.799999999999272"/>
    <n v="7.7577204236908281E-3"/>
    <s v="2023-06"/>
    <n v="335.15"/>
  </r>
  <r>
    <s v="ORD0159"/>
    <x v="2"/>
    <x v="3"/>
    <s v="Unknown"/>
    <x v="1"/>
    <x v="2"/>
    <x v="158"/>
    <n v="404"/>
    <n v="290.70999999999998"/>
    <n v="29.35"/>
    <n v="117446.84"/>
    <n v="105589.44"/>
    <n v="0.89904028069209874"/>
    <s v="2023-06"/>
    <n v="290.70999999999998"/>
  </r>
  <r>
    <s v="ORD0160"/>
    <x v="1"/>
    <x v="0"/>
    <s v="Food"/>
    <x v="0"/>
    <x v="1"/>
    <x v="159"/>
    <n v="42"/>
    <n v="177.54"/>
    <n v="170.87"/>
    <n v="7456.6799999999994"/>
    <n v="280.13999999999942"/>
    <n v="3.7568998535541215E-2"/>
    <s v="2023-06"/>
    <n v="177.54"/>
  </r>
  <r>
    <s v="ORD0161"/>
    <x v="0"/>
    <x v="2"/>
    <s v="Furniture"/>
    <x v="1"/>
    <x v="1"/>
    <x v="160"/>
    <n v="143"/>
    <n v="83.85"/>
    <n v="34.880000000000003"/>
    <n v="11990.55"/>
    <n v="7002.7099999999991"/>
    <n v="0.58401908169350025"/>
    <s v="2023-06"/>
    <n v="83.85"/>
  </r>
  <r>
    <s v="ORD0162"/>
    <x v="2"/>
    <x v="2"/>
    <s v="Clothing"/>
    <x v="0"/>
    <x v="0"/>
    <x v="161"/>
    <n v="376"/>
    <n v="304.45"/>
    <n v="206.83"/>
    <n v="114473.2"/>
    <n v="36705.119999999995"/>
    <n v="0.32064378387255704"/>
    <s v="2023-06"/>
    <n v="304.45"/>
  </r>
  <r>
    <s v="ORD0163"/>
    <x v="1"/>
    <x v="4"/>
    <s v="Electronics"/>
    <x v="0"/>
    <x v="0"/>
    <x v="162"/>
    <n v="88"/>
    <n v="162.47"/>
    <n v="359.76"/>
    <n v="14297.36"/>
    <n v="-17361.519999999997"/>
    <n v="-1.2143164891980056"/>
    <s v="2023-06"/>
    <n v="162.47"/>
  </r>
  <r>
    <s v="ORD0164"/>
    <x v="1"/>
    <x v="2"/>
    <s v="Beverages"/>
    <x v="0"/>
    <x v="1"/>
    <x v="163"/>
    <n v="425"/>
    <n v="433.89"/>
    <n v="313.43"/>
    <n v="184403.25"/>
    <n v="51195.5"/>
    <n v="0.27762797022286756"/>
    <s v="2023-06"/>
    <n v="433.89"/>
  </r>
  <r>
    <s v="ORD0165"/>
    <x v="3"/>
    <x v="4"/>
    <s v="Beverages"/>
    <x v="1"/>
    <x v="0"/>
    <x v="164"/>
    <n v="444"/>
    <n v="496.7"/>
    <n v="92.68"/>
    <n v="220534.8"/>
    <n v="179384.87999999998"/>
    <n v="0.81340849607408894"/>
    <s v="2023-06"/>
    <n v="496.7"/>
  </r>
  <r>
    <s v="ORD0166"/>
    <x v="2"/>
    <x v="1"/>
    <s v="Food"/>
    <x v="0"/>
    <x v="2"/>
    <x v="165"/>
    <n v="468"/>
    <n v="377.45"/>
    <n v="390.44"/>
    <n v="176646.6"/>
    <n v="-6079.320000000007"/>
    <n v="-3.4415154325076205E-2"/>
    <s v="2023-06"/>
    <n v="377.45"/>
  </r>
  <r>
    <s v="ORD0167"/>
    <x v="1"/>
    <x v="0"/>
    <s v="Furniture"/>
    <x v="0"/>
    <x v="2"/>
    <x v="166"/>
    <n v="67"/>
    <n v="49.79"/>
    <n v="267.61"/>
    <n v="3335.93"/>
    <n v="-14593.940000000002"/>
    <n v="-4.3747740510142608"/>
    <s v="2023-06"/>
    <n v="49.79"/>
  </r>
  <r>
    <s v="ORD0168"/>
    <x v="0"/>
    <x v="4"/>
    <s v="Electronics"/>
    <x v="1"/>
    <x v="0"/>
    <x v="167"/>
    <n v="480"/>
    <n v="147.9"/>
    <n v="6.15"/>
    <n v="70992"/>
    <n v="68040"/>
    <n v="0.95841784989858014"/>
    <s v="2023-06"/>
    <n v="147.9"/>
  </r>
  <r>
    <s v="ORD0169"/>
    <x v="0"/>
    <x v="1"/>
    <s v="Furniture"/>
    <x v="1"/>
    <x v="2"/>
    <x v="168"/>
    <n v="35"/>
    <n v="59.01"/>
    <n v="103.65"/>
    <n v="2065.35"/>
    <n v="-1562.4"/>
    <n v="-0.75648195221148962"/>
    <s v="2023-06"/>
    <n v="59.01"/>
  </r>
  <r>
    <s v="ORD0170"/>
    <x v="3"/>
    <x v="2"/>
    <s v="Electronics"/>
    <x v="1"/>
    <x v="0"/>
    <x v="169"/>
    <n v="491"/>
    <n v="327"/>
    <n v="105.76"/>
    <n v="160557"/>
    <n v="108628.84"/>
    <n v="0.67657492354740056"/>
    <s v="2023-06"/>
    <n v="327"/>
  </r>
  <r>
    <s v="ORD0171"/>
    <x v="1"/>
    <x v="2"/>
    <s v="Food"/>
    <x v="1"/>
    <x v="1"/>
    <x v="170"/>
    <n v="439"/>
    <n v="383.77"/>
    <n v="29.56"/>
    <n v="168475.03"/>
    <n v="155498.19"/>
    <n v="0.92297469838705481"/>
    <s v="2023-06"/>
    <n v="383.77"/>
  </r>
  <r>
    <s v="ORD0172"/>
    <x v="2"/>
    <x v="1"/>
    <s v="Food"/>
    <x v="0"/>
    <x v="1"/>
    <x v="171"/>
    <n v="235"/>
    <n v="463.21"/>
    <n v="384.01"/>
    <n v="108854.34999999999"/>
    <n v="18612"/>
    <n v="0.17098076466397533"/>
    <s v="2023-06"/>
    <n v="463.21"/>
  </r>
  <r>
    <s v="ORD0173"/>
    <x v="0"/>
    <x v="2"/>
    <s v="Beverages"/>
    <x v="0"/>
    <x v="2"/>
    <x v="172"/>
    <n v="294"/>
    <n v="221.9"/>
    <n v="192.35"/>
    <n v="65238.6"/>
    <n v="8687.6999999999971"/>
    <n v="0.13316809373591704"/>
    <s v="2023-06"/>
    <n v="221.9"/>
  </r>
  <r>
    <s v="ORD0174"/>
    <x v="1"/>
    <x v="1"/>
    <s v="Furniture"/>
    <x v="0"/>
    <x v="0"/>
    <x v="173"/>
    <n v="13"/>
    <n v="451.18"/>
    <n v="358.53"/>
    <n v="5865.34"/>
    <n v="1204.4500000000007"/>
    <n v="0.20535041446872657"/>
    <s v="2023-06"/>
    <n v="451.18"/>
  </r>
  <r>
    <s v="ORD0175"/>
    <x v="1"/>
    <x v="4"/>
    <s v="Beverages"/>
    <x v="0"/>
    <x v="0"/>
    <x v="174"/>
    <n v="474"/>
    <n v="439.56"/>
    <n v="130.24"/>
    <n v="208351.44"/>
    <n v="146617.68"/>
    <n v="0.70370370370370361"/>
    <s v="2023-06"/>
    <n v="439.56"/>
  </r>
  <r>
    <s v="ORD0176"/>
    <x v="3"/>
    <x v="4"/>
    <s v="Furniture"/>
    <x v="1"/>
    <x v="2"/>
    <x v="175"/>
    <n v="108"/>
    <n v="162.01"/>
    <n v="51.84"/>
    <n v="17497.079999999998"/>
    <n v="11898.359999999997"/>
    <n v="0.68001975186716856"/>
    <s v="2023-06"/>
    <n v="162.01"/>
  </r>
  <r>
    <s v="ORD0177"/>
    <x v="0"/>
    <x v="1"/>
    <s v="Beverages"/>
    <x v="0"/>
    <x v="1"/>
    <x v="176"/>
    <n v="406"/>
    <n v="435.11"/>
    <n v="190.79"/>
    <n v="176654.66"/>
    <n v="99193.920000000013"/>
    <n v="0.56151318057502708"/>
    <s v="2023-06"/>
    <n v="435.11"/>
  </r>
  <r>
    <s v="ORD0178"/>
    <x v="0"/>
    <x v="4"/>
    <s v="Clothing"/>
    <x v="0"/>
    <x v="2"/>
    <x v="177"/>
    <n v="498"/>
    <n v="190.96"/>
    <n v="47.35"/>
    <n v="95098.08"/>
    <n v="71517.78"/>
    <n v="0.75204231252618348"/>
    <s v="2023-06"/>
    <n v="190.96"/>
  </r>
  <r>
    <s v="ORD0179"/>
    <x v="2"/>
    <x v="4"/>
    <s v="Clothing"/>
    <x v="1"/>
    <x v="1"/>
    <x v="178"/>
    <n v="48"/>
    <n v="151.94999999999999"/>
    <n v="195.43"/>
    <n v="7293.5999999999995"/>
    <n v="-2087.04"/>
    <n v="-0.28614675880223761"/>
    <s v="2023-06"/>
    <n v="151.94999999999999"/>
  </r>
  <r>
    <s v="ORD0180"/>
    <x v="0"/>
    <x v="4"/>
    <s v="Clothing"/>
    <x v="0"/>
    <x v="0"/>
    <x v="179"/>
    <n v="280"/>
    <n v="326.29000000000002"/>
    <n v="368.28"/>
    <n v="91361.200000000012"/>
    <n v="-11757.199999999983"/>
    <n v="-0.12868920285635457"/>
    <s v="2023-06"/>
    <n v="326.29000000000002"/>
  </r>
  <r>
    <s v="ORD0181"/>
    <x v="2"/>
    <x v="3"/>
    <s v="Clothing"/>
    <x v="0"/>
    <x v="1"/>
    <x v="180"/>
    <n v="384"/>
    <n v="167.55"/>
    <n v="209.27"/>
    <n v="64339.200000000004"/>
    <n v="-16020.480000000003"/>
    <n v="-0.24900029841838262"/>
    <s v="2023-06"/>
    <n v="167.55"/>
  </r>
  <r>
    <s v="ORD0182"/>
    <x v="0"/>
    <x v="0"/>
    <s v="Electronics"/>
    <x v="0"/>
    <x v="2"/>
    <x v="181"/>
    <n v="294"/>
    <n v="316.95"/>
    <n v="247.37"/>
    <n v="93183.3"/>
    <n v="20456.520000000004"/>
    <n v="0.21952989430509548"/>
    <s v="2023-07"/>
    <n v="316.95"/>
  </r>
  <r>
    <s v="ORD0183"/>
    <x v="3"/>
    <x v="2"/>
    <s v="Clothing"/>
    <x v="0"/>
    <x v="0"/>
    <x v="182"/>
    <n v="166"/>
    <n v="306.87"/>
    <n v="64.34"/>
    <n v="50940.42"/>
    <n v="40259.979999999996"/>
    <n v="0.79033466940398212"/>
    <s v="2023-07"/>
    <n v="306.87"/>
  </r>
  <r>
    <s v="ORD0184"/>
    <x v="0"/>
    <x v="3"/>
    <s v="Food"/>
    <x v="0"/>
    <x v="2"/>
    <x v="183"/>
    <n v="84"/>
    <n v="283.89999999999998"/>
    <n v="19.41"/>
    <n v="23847.599999999999"/>
    <n v="22217.16"/>
    <n v="0.93163085593518846"/>
    <s v="2023-07"/>
    <n v="283.89999999999998"/>
  </r>
  <r>
    <s v="ORD0185"/>
    <x v="2"/>
    <x v="4"/>
    <s v="Food"/>
    <x v="0"/>
    <x v="2"/>
    <x v="184"/>
    <n v="381"/>
    <n v="193.31"/>
    <n v="46.1"/>
    <n v="73651.11"/>
    <n v="56087.009999999995"/>
    <n v="0.76152294242408558"/>
    <s v="2023-07"/>
    <n v="193.31"/>
  </r>
  <r>
    <s v="ORD0186"/>
    <x v="2"/>
    <x v="1"/>
    <s v="Electronics"/>
    <x v="1"/>
    <x v="1"/>
    <x v="185"/>
    <n v="297"/>
    <n v="276.51"/>
    <n v="240.22"/>
    <n v="82123.47"/>
    <n v="10778.130000000005"/>
    <n v="0.131242993020144"/>
    <s v="2023-07"/>
    <n v="276.51"/>
  </r>
  <r>
    <s v="ORD0187"/>
    <x v="3"/>
    <x v="4"/>
    <s v="Clothing"/>
    <x v="1"/>
    <x v="2"/>
    <x v="186"/>
    <n v="139"/>
    <n v="300.26"/>
    <n v="39.81"/>
    <n v="41736.14"/>
    <n v="36202.550000000003"/>
    <n v="0.86741490708053026"/>
    <s v="2023-07"/>
    <n v="300.26"/>
  </r>
  <r>
    <s v="ORD0188"/>
    <x v="0"/>
    <x v="0"/>
    <s v="Clothing"/>
    <x v="0"/>
    <x v="1"/>
    <x v="187"/>
    <n v="184"/>
    <n v="275.12"/>
    <n v="151.65"/>
    <n v="50622.080000000002"/>
    <n v="22718.48"/>
    <n v="0.44878598429776095"/>
    <s v="2023-07"/>
    <n v="275.12"/>
  </r>
  <r>
    <s v="ORD0189"/>
    <x v="0"/>
    <x v="4"/>
    <s v="Clothing"/>
    <x v="0"/>
    <x v="0"/>
    <x v="188"/>
    <n v="471"/>
    <n v="224.99"/>
    <n v="220.94"/>
    <n v="105970.29000000001"/>
    <n v="1907.5500000000029"/>
    <n v="1.8000800035557162E-2"/>
    <s v="2023-07"/>
    <n v="224.99"/>
  </r>
  <r>
    <s v="ORD0190"/>
    <x v="3"/>
    <x v="1"/>
    <s v="Beverages"/>
    <x v="1"/>
    <x v="1"/>
    <x v="189"/>
    <n v="93"/>
    <n v="12.26"/>
    <n v="156.68"/>
    <n v="1140.18"/>
    <n v="-13431.06"/>
    <n v="-11.779771615008155"/>
    <s v="2023-07"/>
    <n v="12.260000000000002"/>
  </r>
  <r>
    <s v="ORD0191"/>
    <x v="0"/>
    <x v="0"/>
    <s v="Furniture"/>
    <x v="0"/>
    <x v="0"/>
    <x v="190"/>
    <n v="31"/>
    <n v="295.60000000000002"/>
    <n v="67.150000000000006"/>
    <n v="9163.6"/>
    <n v="7081.9500000000007"/>
    <n v="0.77283491204330179"/>
    <s v="2023-07"/>
    <n v="295.60000000000002"/>
  </r>
  <r>
    <s v="ORD0192"/>
    <x v="0"/>
    <x v="4"/>
    <s v="Beverages"/>
    <x v="0"/>
    <x v="1"/>
    <x v="191"/>
    <n v="468"/>
    <n v="88.38"/>
    <n v="110.97"/>
    <n v="41361.839999999997"/>
    <n v="-10572.120000000003"/>
    <n v="-0.25560081466395118"/>
    <s v="2023-07"/>
    <n v="88.38"/>
  </r>
  <r>
    <s v="ORD0193"/>
    <x v="2"/>
    <x v="0"/>
    <s v="Furniture"/>
    <x v="0"/>
    <x v="2"/>
    <x v="192"/>
    <n v="36"/>
    <n v="323.08"/>
    <n v="371.47"/>
    <n v="11630.88"/>
    <n v="-1742.0400000000027"/>
    <n v="-0.14977714497957187"/>
    <s v="2023-07"/>
    <n v="323.08"/>
  </r>
  <r>
    <s v="ORD0194"/>
    <x v="0"/>
    <x v="2"/>
    <s v="Clothing"/>
    <x v="1"/>
    <x v="1"/>
    <x v="193"/>
    <n v="204"/>
    <n v="380.88"/>
    <n v="271.04000000000002"/>
    <n v="77699.520000000004"/>
    <n v="22407.360000000001"/>
    <n v="0.28838479311069104"/>
    <s v="2023-07"/>
    <n v="380.88"/>
  </r>
  <r>
    <s v="ORD0195"/>
    <x v="0"/>
    <x v="2"/>
    <s v="Clothing"/>
    <x v="0"/>
    <x v="1"/>
    <x v="194"/>
    <n v="346"/>
    <n v="252.72"/>
    <n v="199.43"/>
    <n v="87441.12"/>
    <n v="18438.339999999997"/>
    <n v="0.21086578031022474"/>
    <s v="2023-07"/>
    <n v="252.72"/>
  </r>
  <r>
    <s v="ORD0196"/>
    <x v="3"/>
    <x v="4"/>
    <s v="Beverages"/>
    <x v="1"/>
    <x v="0"/>
    <x v="195"/>
    <n v="391"/>
    <n v="273.47000000000003"/>
    <n v="7.06"/>
    <n v="106926.77"/>
    <n v="104166.31"/>
    <n v="0.97418363988737333"/>
    <s v="2023-07"/>
    <n v="273.47000000000003"/>
  </r>
  <r>
    <s v="ORD0197"/>
    <x v="3"/>
    <x v="0"/>
    <s v="Beverages"/>
    <x v="0"/>
    <x v="2"/>
    <x v="196"/>
    <n v="245"/>
    <n v="475.98"/>
    <n v="396.98"/>
    <n v="116615.1"/>
    <n v="19355"/>
    <n v="0.16597336022521955"/>
    <s v="2023-07"/>
    <n v="475.98"/>
  </r>
  <r>
    <s v="ORD0198"/>
    <x v="1"/>
    <x v="1"/>
    <s v="Furniture"/>
    <x v="1"/>
    <x v="1"/>
    <x v="197"/>
    <n v="449"/>
    <n v="424.35"/>
    <n v="269.24"/>
    <n v="190533.15000000002"/>
    <n v="69644.390000000014"/>
    <n v="0.36552374219394373"/>
    <s v="2023-07"/>
    <n v="424.35000000000008"/>
  </r>
  <r>
    <s v="ORD0199"/>
    <x v="2"/>
    <x v="4"/>
    <s v="Food"/>
    <x v="1"/>
    <x v="2"/>
    <x v="198"/>
    <n v="101"/>
    <n v="457.55"/>
    <n v="128.13999999999999"/>
    <n v="46212.55"/>
    <n v="33270.410000000003"/>
    <n v="0.71994317560922305"/>
    <s v="2023-07"/>
    <n v="457.55"/>
  </r>
  <r>
    <s v="ORD0200"/>
    <x v="0"/>
    <x v="2"/>
    <s v="Furniture"/>
    <x v="0"/>
    <x v="1"/>
    <x v="199"/>
    <n v="255.90294117647059"/>
    <n v="407.81"/>
    <n v="351.95"/>
    <n v="104359.77844117647"/>
    <n v="14294.738294117647"/>
    <n v="0.13697555234055075"/>
    <s v="2023-07"/>
    <n v="407.81"/>
  </r>
  <r>
    <s v="ORD0201"/>
    <x v="0"/>
    <x v="2"/>
    <s v="Beverages"/>
    <x v="1"/>
    <x v="1"/>
    <x v="200"/>
    <n v="30"/>
    <n v="58.91"/>
    <n v="104.86"/>
    <n v="1767.3"/>
    <n v="-1378.5000000000002"/>
    <n v="-0.78000339500933646"/>
    <s v="2023-07"/>
    <n v="58.91"/>
  </r>
  <r>
    <s v="ORD0202"/>
    <x v="1"/>
    <x v="4"/>
    <s v="Beverages"/>
    <x v="0"/>
    <x v="2"/>
    <x v="201"/>
    <n v="312"/>
    <n v="78.75"/>
    <n v="218.52"/>
    <n v="24570"/>
    <n v="-43608.240000000005"/>
    <n v="-1.7748571428571431"/>
    <s v="2023-07"/>
    <n v="78.75"/>
  </r>
  <r>
    <s v="ORD0203"/>
    <x v="0"/>
    <x v="0"/>
    <s v="Electronics"/>
    <x v="1"/>
    <x v="1"/>
    <x v="202"/>
    <n v="473"/>
    <n v="265.68"/>
    <n v="255.16"/>
    <n v="125666.64"/>
    <n v="4975.9600000000064"/>
    <n v="3.9596507076181925E-2"/>
    <s v="2023-07"/>
    <n v="265.68"/>
  </r>
  <r>
    <s v="ORD0204"/>
    <x v="2"/>
    <x v="2"/>
    <s v="Beverages"/>
    <x v="0"/>
    <x v="2"/>
    <x v="203"/>
    <n v="366"/>
    <n v="126.8"/>
    <n v="89.98"/>
    <n v="46408.799999999996"/>
    <n v="13476.119999999995"/>
    <n v="0.29037854889589898"/>
    <s v="2023-07"/>
    <n v="126.79999999999998"/>
  </r>
  <r>
    <s v="ORD0205"/>
    <x v="1"/>
    <x v="0"/>
    <s v="Electronics"/>
    <x v="0"/>
    <x v="1"/>
    <x v="204"/>
    <n v="452"/>
    <n v="240.96"/>
    <n v="391.4"/>
    <n v="108913.92"/>
    <n v="-67998.87999999999"/>
    <n v="-0.6243359893758299"/>
    <s v="2023-07"/>
    <n v="240.96"/>
  </r>
  <r>
    <s v="ORD0206"/>
    <x v="2"/>
    <x v="2"/>
    <s v="Food"/>
    <x v="1"/>
    <x v="0"/>
    <x v="205"/>
    <n v="93"/>
    <n v="200.21"/>
    <n v="299.77999999999997"/>
    <n v="18619.530000000002"/>
    <n v="-9260.0099999999948"/>
    <n v="-0.49732780580390556"/>
    <s v="2023-07"/>
    <n v="200.21000000000004"/>
  </r>
  <r>
    <s v="ORD0207"/>
    <x v="1"/>
    <x v="2"/>
    <s v="Furniture"/>
    <x v="0"/>
    <x v="2"/>
    <x v="206"/>
    <n v="271"/>
    <n v="276.95999999999998"/>
    <n v="224.01"/>
    <n v="75056.159999999989"/>
    <n v="14349.44999999999"/>
    <n v="0.19118284228769486"/>
    <s v="2023-07"/>
    <n v="276.95999999999998"/>
  </r>
  <r>
    <s v="ORD0208"/>
    <x v="1"/>
    <x v="3"/>
    <s v="Furniture"/>
    <x v="0"/>
    <x v="1"/>
    <x v="207"/>
    <n v="156"/>
    <n v="374.7"/>
    <n v="73.88"/>
    <n v="58453.2"/>
    <n v="46927.92"/>
    <n v="0.80282892981051512"/>
    <s v="2023-07"/>
    <n v="374.7"/>
  </r>
  <r>
    <s v="ORD0209"/>
    <x v="3"/>
    <x v="2"/>
    <s v="Electronics"/>
    <x v="1"/>
    <x v="1"/>
    <x v="208"/>
    <n v="450"/>
    <n v="359.17"/>
    <n v="23.44"/>
    <n v="161626.5"/>
    <n v="151078.5"/>
    <n v="0.9347384247013949"/>
    <s v="2023-07"/>
    <n v="359.17"/>
  </r>
  <r>
    <s v="ORD0210"/>
    <x v="2"/>
    <x v="1"/>
    <s v="Furniture"/>
    <x v="0"/>
    <x v="0"/>
    <x v="209"/>
    <n v="462"/>
    <n v="263.01"/>
    <n v="129.38"/>
    <n v="121510.62"/>
    <n v="61737.06"/>
    <n v="0.50807954070187444"/>
    <s v="2023-07"/>
    <n v="263.01"/>
  </r>
  <r>
    <s v="ORD0211"/>
    <x v="0"/>
    <x v="4"/>
    <s v="Unknown"/>
    <x v="0"/>
    <x v="2"/>
    <x v="210"/>
    <n v="396"/>
    <n v="412.08"/>
    <n v="301.77"/>
    <n v="163183.67999999999"/>
    <n v="43682.759999999995"/>
    <n v="0.26769073966220147"/>
    <s v="2023-07"/>
    <n v="412.08"/>
  </r>
  <r>
    <s v="ORD0212"/>
    <x v="0"/>
    <x v="4"/>
    <s v="Clothing"/>
    <x v="1"/>
    <x v="1"/>
    <x v="211"/>
    <n v="266"/>
    <n v="218.28"/>
    <n v="109.19"/>
    <n v="58062.48"/>
    <n v="29017.940000000002"/>
    <n v="0.49977093641194797"/>
    <s v="2023-07"/>
    <n v="218.28"/>
  </r>
  <r>
    <s v="ORD0213"/>
    <x v="2"/>
    <x v="0"/>
    <s v="Electronics"/>
    <x v="1"/>
    <x v="0"/>
    <x v="212"/>
    <n v="67"/>
    <n v="448.87"/>
    <n v="216.74"/>
    <n v="30074.29"/>
    <n v="15552.710000000001"/>
    <n v="0.5171430480985586"/>
    <s v="2023-08"/>
    <n v="448.87"/>
  </r>
  <r>
    <s v="ORD0214"/>
    <x v="0"/>
    <x v="2"/>
    <s v="Furniture"/>
    <x v="0"/>
    <x v="1"/>
    <x v="213"/>
    <n v="389"/>
    <n v="40.28"/>
    <n v="291.72000000000003"/>
    <n v="15668.92"/>
    <n v="-97810.160000000018"/>
    <n v="-6.2423038728897726"/>
    <s v="2023-08"/>
    <n v="40.28"/>
  </r>
  <r>
    <s v="ORD0215"/>
    <x v="0"/>
    <x v="1"/>
    <s v="Electronics"/>
    <x v="0"/>
    <x v="2"/>
    <x v="214"/>
    <n v="431"/>
    <n v="477.56"/>
    <n v="44.96"/>
    <n v="205828.36000000002"/>
    <n v="186450.6"/>
    <n v="0.90585476170533541"/>
    <s v="2023-08"/>
    <n v="477.56000000000006"/>
  </r>
  <r>
    <s v="ORD0216"/>
    <x v="2"/>
    <x v="0"/>
    <s v="Electronics"/>
    <x v="1"/>
    <x v="1"/>
    <x v="215"/>
    <n v="24"/>
    <n v="329.07"/>
    <n v="274.75"/>
    <n v="7897.68"/>
    <n v="1303.6800000000003"/>
    <n v="0.16507126143373754"/>
    <s v="2023-08"/>
    <n v="329.07"/>
  </r>
  <r>
    <s v="ORD0217"/>
    <x v="1"/>
    <x v="3"/>
    <s v="Clothing"/>
    <x v="1"/>
    <x v="1"/>
    <x v="216"/>
    <n v="171"/>
    <n v="193.14"/>
    <n v="38.56"/>
    <n v="33026.939999999995"/>
    <n v="26433.179999999993"/>
    <n v="0.80035207621414506"/>
    <s v="2023-08"/>
    <n v="193.13999999999996"/>
  </r>
  <r>
    <s v="ORD0218"/>
    <x v="2"/>
    <x v="0"/>
    <s v="Beverages"/>
    <x v="0"/>
    <x v="1"/>
    <x v="217"/>
    <n v="454"/>
    <n v="102.59"/>
    <n v="386.12"/>
    <n v="46575.86"/>
    <n v="-128722.62000000001"/>
    <n v="-2.763719660785652"/>
    <s v="2023-08"/>
    <n v="102.59"/>
  </r>
  <r>
    <s v="ORD0219"/>
    <x v="1"/>
    <x v="0"/>
    <s v="Electronics"/>
    <x v="1"/>
    <x v="1"/>
    <x v="218"/>
    <n v="172"/>
    <n v="242.2"/>
    <n v="196.38"/>
    <n v="41658.400000000001"/>
    <n v="7881.0400000000009"/>
    <n v="0.18918249380677127"/>
    <s v="2023-08"/>
    <n v="242.20000000000002"/>
  </r>
  <r>
    <s v="ORD0220"/>
    <x v="0"/>
    <x v="2"/>
    <s v="Furniture"/>
    <x v="0"/>
    <x v="0"/>
    <x v="219"/>
    <n v="329"/>
    <n v="101.31"/>
    <n v="61.97"/>
    <n v="33330.99"/>
    <n v="12942.859999999997"/>
    <n v="0.38831309841081824"/>
    <s v="2023-08"/>
    <n v="101.30999999999999"/>
  </r>
  <r>
    <s v="ORD0221"/>
    <x v="0"/>
    <x v="3"/>
    <s v="Food"/>
    <x v="0"/>
    <x v="0"/>
    <x v="220"/>
    <n v="290"/>
    <n v="87.33"/>
    <n v="138.27000000000001"/>
    <n v="25325.7"/>
    <n v="-14772.600000000002"/>
    <n v="-0.58330470628649955"/>
    <s v="2023-08"/>
    <n v="87.33"/>
  </r>
  <r>
    <s v="ORD0222"/>
    <x v="1"/>
    <x v="0"/>
    <s v="Electronics"/>
    <x v="0"/>
    <x v="2"/>
    <x v="221"/>
    <n v="289"/>
    <n v="310.58999999999997"/>
    <n v="166.54"/>
    <n v="89760.51"/>
    <n v="41630.449999999997"/>
    <n v="0.4637947132876139"/>
    <s v="2023-08"/>
    <n v="310.58999999999997"/>
  </r>
  <r>
    <s v="ORD0223"/>
    <x v="3"/>
    <x v="1"/>
    <s v="Electronics"/>
    <x v="0"/>
    <x v="0"/>
    <x v="222"/>
    <n v="21"/>
    <n v="263.93"/>
    <n v="303.76"/>
    <n v="5542.53"/>
    <n v="-836.43000000000029"/>
    <n v="-0.15091122646156183"/>
    <s v="2023-08"/>
    <n v="263.93"/>
  </r>
  <r>
    <s v="ORD0224"/>
    <x v="1"/>
    <x v="1"/>
    <s v="Clothing"/>
    <x v="0"/>
    <x v="0"/>
    <x v="223"/>
    <n v="283"/>
    <n v="336.7"/>
    <n v="297.88"/>
    <n v="95286.099999999991"/>
    <n v="10986.059999999998"/>
    <n v="0.11529551529551528"/>
    <s v="2023-08"/>
    <n v="336.7"/>
  </r>
  <r>
    <s v="ORD0225"/>
    <x v="3"/>
    <x v="4"/>
    <s v="Beverages"/>
    <x v="1"/>
    <x v="2"/>
    <x v="224"/>
    <n v="280"/>
    <n v="465.15"/>
    <n v="245.55"/>
    <n v="130242"/>
    <n v="61488"/>
    <n v="0.47210577233150597"/>
    <s v="2023-08"/>
    <n v="465.15"/>
  </r>
  <r>
    <s v="ORD0226"/>
    <x v="3"/>
    <x v="3"/>
    <s v="Food"/>
    <x v="1"/>
    <x v="0"/>
    <x v="225"/>
    <n v="217"/>
    <n v="268.47000000000003"/>
    <n v="44.16"/>
    <n v="58257.990000000005"/>
    <n v="48675.270000000004"/>
    <n v="0.83551234774835181"/>
    <s v="2023-08"/>
    <n v="268.47000000000003"/>
  </r>
  <r>
    <s v="ORD0227"/>
    <x v="2"/>
    <x v="3"/>
    <s v="Furniture"/>
    <x v="1"/>
    <x v="0"/>
    <x v="226"/>
    <n v="36"/>
    <n v="292.56"/>
    <n v="62.32"/>
    <n v="10532.16"/>
    <n v="8288.64"/>
    <n v="0.78698386655728736"/>
    <s v="2023-08"/>
    <n v="292.56"/>
  </r>
  <r>
    <s v="ORD0228"/>
    <x v="3"/>
    <x v="4"/>
    <s v="Food"/>
    <x v="1"/>
    <x v="2"/>
    <x v="227"/>
    <n v="255.90294117647059"/>
    <n v="49.37"/>
    <n v="39.32"/>
    <n v="12633.928205882352"/>
    <n v="2571.8245588235277"/>
    <n v="0.20356491796637621"/>
    <s v="2023-08"/>
    <n v="49.37"/>
  </r>
  <r>
    <s v="ORD0229"/>
    <x v="2"/>
    <x v="0"/>
    <s v="Furniture"/>
    <x v="0"/>
    <x v="2"/>
    <x v="228"/>
    <n v="69"/>
    <n v="360.23"/>
    <n v="231.71"/>
    <n v="24855.870000000003"/>
    <n v="8867.8800000000028"/>
    <n v="0.35677206229353475"/>
    <s v="2023-08"/>
    <n v="360.23"/>
  </r>
  <r>
    <s v="ORD0230"/>
    <x v="2"/>
    <x v="3"/>
    <s v="Beverages"/>
    <x v="0"/>
    <x v="2"/>
    <x v="229"/>
    <n v="439"/>
    <n v="202.95"/>
    <n v="351.1"/>
    <n v="89095.049999999988"/>
    <n v="-65037.850000000035"/>
    <n v="-0.72998275437299875"/>
    <s v="2023-08"/>
    <n v="202.94999999999996"/>
  </r>
  <r>
    <s v="ORD0231"/>
    <x v="3"/>
    <x v="1"/>
    <s v="Furniture"/>
    <x v="0"/>
    <x v="1"/>
    <x v="230"/>
    <n v="482"/>
    <n v="488.48"/>
    <n v="174.65"/>
    <n v="235447.36000000002"/>
    <n v="151266.06"/>
    <n v="0.64246233213232884"/>
    <s v="2023-08"/>
    <n v="488.48"/>
  </r>
  <r>
    <s v="ORD0232"/>
    <x v="1"/>
    <x v="1"/>
    <s v="Clothing"/>
    <x v="0"/>
    <x v="1"/>
    <x v="231"/>
    <n v="154"/>
    <n v="412.47"/>
    <n v="66.02"/>
    <n v="63520.380000000005"/>
    <n v="53353.3"/>
    <n v="0.83993987441510898"/>
    <s v="2023-08"/>
    <n v="412.47"/>
  </r>
  <r>
    <s v="ORD0233"/>
    <x v="1"/>
    <x v="2"/>
    <s v="Clothing"/>
    <x v="1"/>
    <x v="2"/>
    <x v="232"/>
    <n v="102"/>
    <n v="263.63"/>
    <n v="224.1"/>
    <n v="26890.26"/>
    <n v="4032.0599999999977"/>
    <n v="0.14994499867238167"/>
    <s v="2023-08"/>
    <n v="263.63"/>
  </r>
  <r>
    <s v="ORD0234"/>
    <x v="1"/>
    <x v="3"/>
    <s v="Clothing"/>
    <x v="0"/>
    <x v="2"/>
    <x v="233"/>
    <n v="318"/>
    <n v="66"/>
    <n v="325.08"/>
    <n v="20988"/>
    <n v="-82387.439999999988"/>
    <n v="-3.9254545454545449"/>
    <s v="2023-08"/>
    <n v="66"/>
  </r>
  <r>
    <s v="ORD0235"/>
    <x v="1"/>
    <x v="0"/>
    <s v="Clothing"/>
    <x v="0"/>
    <x v="2"/>
    <x v="234"/>
    <n v="17"/>
    <n v="430.41"/>
    <n v="297.2"/>
    <n v="7316.97"/>
    <n v="2264.5700000000006"/>
    <n v="0.30949559722125425"/>
    <s v="2023-08"/>
    <n v="430.41"/>
  </r>
  <r>
    <s v="ORD0236"/>
    <x v="1"/>
    <x v="4"/>
    <s v="Food"/>
    <x v="1"/>
    <x v="1"/>
    <x v="235"/>
    <n v="88"/>
    <n v="400.89"/>
    <n v="352.82"/>
    <n v="35278.32"/>
    <n v="4230.16"/>
    <n v="0.11990820424555364"/>
    <s v="2023-08"/>
    <n v="400.89"/>
  </r>
  <r>
    <s v="ORD0237"/>
    <x v="3"/>
    <x v="4"/>
    <s v="Beverages"/>
    <x v="1"/>
    <x v="1"/>
    <x v="236"/>
    <n v="36"/>
    <n v="96.37"/>
    <n v="112.61"/>
    <n v="3469.32"/>
    <n v="-584.63999999999987"/>
    <n v="-0.16851717339420977"/>
    <s v="2023-08"/>
    <n v="96.37"/>
  </r>
  <r>
    <s v="ORD0238"/>
    <x v="3"/>
    <x v="0"/>
    <s v="Furniture"/>
    <x v="1"/>
    <x v="0"/>
    <x v="237"/>
    <n v="183"/>
    <n v="151.16"/>
    <n v="79.19"/>
    <n v="27662.28"/>
    <n v="13170.509999999998"/>
    <n v="0.476118020640381"/>
    <s v="2023-08"/>
    <n v="151.16"/>
  </r>
  <r>
    <s v="ORD0239"/>
    <x v="0"/>
    <x v="2"/>
    <s v="Furniture"/>
    <x v="1"/>
    <x v="0"/>
    <x v="238"/>
    <n v="59"/>
    <n v="397.74"/>
    <n v="352.17"/>
    <n v="23466.66"/>
    <n v="2688.6299999999974"/>
    <n v="0.11457233368532196"/>
    <s v="2023-08"/>
    <n v="397.74"/>
  </r>
  <r>
    <s v="ORD0240"/>
    <x v="1"/>
    <x v="4"/>
    <s v="Clothing"/>
    <x v="0"/>
    <x v="2"/>
    <x v="239"/>
    <n v="208"/>
    <n v="96.69"/>
    <n v="263.70999999999998"/>
    <n v="20111.52"/>
    <n v="-34740.159999999989"/>
    <n v="-1.727376150584341"/>
    <s v="2023-08"/>
    <n v="96.69"/>
  </r>
  <r>
    <s v="ORD0241"/>
    <x v="3"/>
    <x v="3"/>
    <s v="Clothing"/>
    <x v="0"/>
    <x v="1"/>
    <x v="240"/>
    <n v="396"/>
    <n v="459.29"/>
    <n v="125.75"/>
    <n v="181878.84"/>
    <n v="132081.84"/>
    <n v="0.72620784253957193"/>
    <s v="2023-08"/>
    <n v="459.28999999999996"/>
  </r>
  <r>
    <s v="ORD0242"/>
    <x v="0"/>
    <x v="2"/>
    <s v="Electronics"/>
    <x v="1"/>
    <x v="1"/>
    <x v="241"/>
    <n v="358"/>
    <n v="215.14"/>
    <n v="297.45"/>
    <n v="77020.12"/>
    <n v="-29466.979999999996"/>
    <n v="-0.38258808217904616"/>
    <s v="2023-08"/>
    <n v="215.14"/>
  </r>
  <r>
    <s v="ORD0243"/>
    <x v="1"/>
    <x v="3"/>
    <s v="Beverages"/>
    <x v="0"/>
    <x v="1"/>
    <x v="242"/>
    <n v="457"/>
    <n v="48.08"/>
    <n v="326.42"/>
    <n v="21972.559999999998"/>
    <n v="-127201.38"/>
    <n v="-5.7891014975041601"/>
    <s v="2023-08"/>
    <n v="48.08"/>
  </r>
  <r>
    <s v="ORD0244"/>
    <x v="2"/>
    <x v="1"/>
    <s v="Food"/>
    <x v="0"/>
    <x v="2"/>
    <x v="243"/>
    <n v="437"/>
    <n v="408.8"/>
    <n v="246.76"/>
    <n v="178645.6"/>
    <n v="70811.48000000001"/>
    <n v="0.39637964774951079"/>
    <s v="2023-09"/>
    <n v="408.8"/>
  </r>
  <r>
    <s v="ORD0245"/>
    <x v="0"/>
    <x v="2"/>
    <s v="Furniture"/>
    <x v="0"/>
    <x v="0"/>
    <x v="244"/>
    <n v="190"/>
    <n v="189.89"/>
    <n v="275.77999999999997"/>
    <n v="36079.1"/>
    <n v="-16319.099999999999"/>
    <n v="-0.45231449786718625"/>
    <s v="2023-09"/>
    <n v="189.89"/>
  </r>
  <r>
    <s v="ORD0246"/>
    <x v="3"/>
    <x v="4"/>
    <s v="Electronics"/>
    <x v="1"/>
    <x v="2"/>
    <x v="245"/>
    <n v="33"/>
    <n v="265.62"/>
    <n v="151.35"/>
    <n v="8765.4600000000009"/>
    <n v="3770.9100000000008"/>
    <n v="0.4302010390783827"/>
    <s v="2023-09"/>
    <n v="265.62"/>
  </r>
  <r>
    <s v="ORD0247"/>
    <x v="2"/>
    <x v="2"/>
    <s v="Electronics"/>
    <x v="0"/>
    <x v="0"/>
    <x v="246"/>
    <n v="325"/>
    <n v="60.59"/>
    <n v="216.4"/>
    <n v="19691.75"/>
    <n v="-50638.25"/>
    <n v="-2.57154645981185"/>
    <s v="2023-09"/>
    <n v="60.59"/>
  </r>
  <r>
    <s v="ORD0248"/>
    <x v="2"/>
    <x v="2"/>
    <s v="Furniture"/>
    <x v="1"/>
    <x v="0"/>
    <x v="247"/>
    <n v="387"/>
    <n v="6.28"/>
    <n v="210.62"/>
    <n v="2430.36"/>
    <n v="-79079.58"/>
    <n v="-32.538216560509554"/>
    <s v="2023-09"/>
    <n v="6.28"/>
  </r>
  <r>
    <s v="ORD0249"/>
    <x v="2"/>
    <x v="2"/>
    <s v="Food"/>
    <x v="0"/>
    <x v="2"/>
    <x v="248"/>
    <n v="396"/>
    <n v="320.8"/>
    <n v="339.52"/>
    <n v="127036.8"/>
    <n v="-7413.1199999999808"/>
    <n v="-5.8354114713216804E-2"/>
    <s v="2023-09"/>
    <n v="320.8"/>
  </r>
  <r>
    <s v="ORD0250"/>
    <x v="0"/>
    <x v="2"/>
    <s v="Electronics"/>
    <x v="0"/>
    <x v="0"/>
    <x v="249"/>
    <n v="413"/>
    <n v="260.01"/>
    <n v="336.31"/>
    <n v="107384.12999999999"/>
    <n v="-31511.900000000009"/>
    <n v="-0.29345025191338808"/>
    <s v="2023-09"/>
    <n v="260.01"/>
  </r>
  <r>
    <s v="ORD0251"/>
    <x v="3"/>
    <x v="3"/>
    <s v="Electronics"/>
    <x v="0"/>
    <x v="0"/>
    <x v="250"/>
    <n v="255.90294117647059"/>
    <n v="298.8"/>
    <n v="333.41"/>
    <n v="76463.798823529418"/>
    <n v="-8856.8007941176475"/>
    <n v="-0.11582998661311913"/>
    <s v="2023-09"/>
    <n v="298.8"/>
  </r>
  <r>
    <s v="ORD0252"/>
    <x v="2"/>
    <x v="1"/>
    <s v="Beverages"/>
    <x v="1"/>
    <x v="1"/>
    <x v="251"/>
    <n v="24"/>
    <n v="397.9"/>
    <n v="6.39"/>
    <n v="9549.5999999999985"/>
    <n v="9396.239999999998"/>
    <n v="0.98394068861522987"/>
    <s v="2023-09"/>
    <n v="397.89999999999992"/>
  </r>
  <r>
    <s v="ORD0253"/>
    <x v="1"/>
    <x v="0"/>
    <s v="Unknown"/>
    <x v="0"/>
    <x v="0"/>
    <x v="252"/>
    <n v="162"/>
    <n v="325.07"/>
    <n v="300.32"/>
    <n v="52661.34"/>
    <n v="4009.5"/>
    <n v="7.6137447319038987E-2"/>
    <s v="2023-09"/>
    <n v="325.07"/>
  </r>
  <r>
    <s v="ORD0254"/>
    <x v="2"/>
    <x v="2"/>
    <s v="Electronics"/>
    <x v="1"/>
    <x v="2"/>
    <x v="253"/>
    <n v="231"/>
    <n v="91.51"/>
    <n v="303.95"/>
    <n v="21138.81"/>
    <n v="-49073.64"/>
    <n v="-2.3214949185881322"/>
    <s v="2023-09"/>
    <n v="91.51"/>
  </r>
  <r>
    <s v="ORD0255"/>
    <x v="2"/>
    <x v="4"/>
    <s v="Food"/>
    <x v="1"/>
    <x v="2"/>
    <x v="254"/>
    <n v="215"/>
    <n v="183.58"/>
    <n v="271.99"/>
    <n v="39469.700000000004"/>
    <n v="-19008.149999999994"/>
    <n v="-0.4815884083233466"/>
    <s v="2023-09"/>
    <n v="183.58"/>
  </r>
  <r>
    <s v="ORD0256"/>
    <x v="0"/>
    <x v="2"/>
    <s v="Furniture"/>
    <x v="1"/>
    <x v="0"/>
    <x v="255"/>
    <n v="464"/>
    <n v="453.42"/>
    <n v="302.99"/>
    <n v="210386.88"/>
    <n v="69799.51999999999"/>
    <n v="0.33176745622160464"/>
    <s v="2023-09"/>
    <n v="453.42"/>
  </r>
  <r>
    <s v="ORD0257"/>
    <x v="0"/>
    <x v="4"/>
    <s v="Clothing"/>
    <x v="0"/>
    <x v="1"/>
    <x v="256"/>
    <n v="282"/>
    <n v="249.64520588235297"/>
    <n v="337.1"/>
    <n v="70399.948058823531"/>
    <n v="-24662.251941176481"/>
    <n v="-0.35031633717356775"/>
    <s v="2023-09"/>
    <n v="249.64520588235294"/>
  </r>
  <r>
    <s v="ORD0258"/>
    <x v="3"/>
    <x v="3"/>
    <s v="Electronics"/>
    <x v="0"/>
    <x v="1"/>
    <x v="257"/>
    <n v="391"/>
    <n v="280.54000000000002"/>
    <n v="189.19"/>
    <n v="109691.14000000001"/>
    <n v="35717.85000000002"/>
    <n v="0.32562201468596291"/>
    <s v="2023-09"/>
    <n v="280.54000000000002"/>
  </r>
  <r>
    <s v="ORD0259"/>
    <x v="1"/>
    <x v="4"/>
    <s v="Beverages"/>
    <x v="0"/>
    <x v="0"/>
    <x v="258"/>
    <n v="245"/>
    <n v="131.54"/>
    <n v="201.82"/>
    <n v="32227.3"/>
    <n v="-17218.600000000002"/>
    <n v="-0.53428614870001534"/>
    <s v="2023-09"/>
    <n v="131.54"/>
  </r>
  <r>
    <s v="ORD0260"/>
    <x v="0"/>
    <x v="0"/>
    <s v="Furniture"/>
    <x v="0"/>
    <x v="0"/>
    <x v="259"/>
    <n v="349"/>
    <n v="154.52000000000001"/>
    <n v="51.64"/>
    <n v="53927.48"/>
    <n v="35905.120000000003"/>
    <n v="0.66580377944602642"/>
    <s v="2023-09"/>
    <n v="154.52000000000001"/>
  </r>
  <r>
    <s v="ORD0261"/>
    <x v="2"/>
    <x v="1"/>
    <s v="Food"/>
    <x v="1"/>
    <x v="2"/>
    <x v="260"/>
    <n v="237"/>
    <n v="249.64520588235297"/>
    <n v="155.38"/>
    <n v="59165.913794117652"/>
    <n v="22340.853794117655"/>
    <n v="0.3775966998812551"/>
    <s v="2023-09"/>
    <n v="249.64520588235297"/>
  </r>
  <r>
    <s v="ORD0262"/>
    <x v="3"/>
    <x v="4"/>
    <s v="Furniture"/>
    <x v="1"/>
    <x v="0"/>
    <x v="261"/>
    <n v="18"/>
    <n v="426.33"/>
    <n v="258.06"/>
    <n v="7673.94"/>
    <n v="3028.8599999999997"/>
    <n v="0.39469425093237631"/>
    <s v="2023-09"/>
    <n v="426.33"/>
  </r>
  <r>
    <s v="ORD0263"/>
    <x v="2"/>
    <x v="4"/>
    <s v="Electronics"/>
    <x v="1"/>
    <x v="1"/>
    <x v="262"/>
    <n v="175"/>
    <n v="337.36"/>
    <n v="312.60000000000002"/>
    <n v="59038"/>
    <n v="4332.9999999999927"/>
    <n v="7.3393407635759897E-2"/>
    <s v="2023-09"/>
    <n v="337.36"/>
  </r>
  <r>
    <s v="ORD0264"/>
    <x v="2"/>
    <x v="1"/>
    <s v="Unknown"/>
    <x v="0"/>
    <x v="0"/>
    <x v="263"/>
    <n v="441"/>
    <n v="405.72"/>
    <n v="88.45"/>
    <n v="178922.52000000002"/>
    <n v="139916.07"/>
    <n v="0.78199250714778656"/>
    <s v="2023-09"/>
    <n v="405.72"/>
  </r>
  <r>
    <s v="ORD0265"/>
    <x v="0"/>
    <x v="0"/>
    <s v="Clothing"/>
    <x v="1"/>
    <x v="2"/>
    <x v="264"/>
    <n v="453"/>
    <n v="384.49"/>
    <n v="56.85"/>
    <n v="174173.97"/>
    <n v="148420.92000000001"/>
    <n v="0.85214179822622182"/>
    <s v="2023-09"/>
    <n v="384.49"/>
  </r>
  <r>
    <s v="ORD0266"/>
    <x v="3"/>
    <x v="2"/>
    <s v="Furniture"/>
    <x v="0"/>
    <x v="2"/>
    <x v="265"/>
    <n v="328"/>
    <n v="79.099999999999994"/>
    <n v="265.89"/>
    <n v="25944.799999999999"/>
    <n v="-61267.119999999995"/>
    <n v="-2.3614412136536029"/>
    <s v="2023-09"/>
    <n v="79.099999999999994"/>
  </r>
  <r>
    <s v="ORD0267"/>
    <x v="1"/>
    <x v="4"/>
    <s v="Electronics"/>
    <x v="1"/>
    <x v="2"/>
    <x v="266"/>
    <n v="223"/>
    <n v="214.85"/>
    <n v="2.75"/>
    <n v="47911.549999999996"/>
    <n v="47298.299999999996"/>
    <n v="0.98720037235280433"/>
    <s v="2023-09"/>
    <n v="214.85"/>
  </r>
  <r>
    <s v="ORD0268"/>
    <x v="1"/>
    <x v="1"/>
    <s v="Beverages"/>
    <x v="0"/>
    <x v="2"/>
    <x v="267"/>
    <n v="126"/>
    <n v="80.73"/>
    <n v="72.989999999999995"/>
    <n v="10171.980000000001"/>
    <n v="975.2400000000016"/>
    <n v="9.5875139353400363E-2"/>
    <s v="2023-09"/>
    <n v="80.73"/>
  </r>
  <r>
    <s v="ORD0269"/>
    <x v="0"/>
    <x v="3"/>
    <s v="Food"/>
    <x v="0"/>
    <x v="2"/>
    <x v="268"/>
    <n v="395"/>
    <n v="121.44"/>
    <n v="13.57"/>
    <n v="47968.799999999996"/>
    <n v="42608.649999999994"/>
    <n v="0.88825757575757569"/>
    <s v="2023-09"/>
    <n v="121.43999999999998"/>
  </r>
  <r>
    <s v="ORD0270"/>
    <x v="0"/>
    <x v="1"/>
    <s v="Furniture"/>
    <x v="1"/>
    <x v="0"/>
    <x v="269"/>
    <n v="353"/>
    <n v="435.28"/>
    <n v="68.42"/>
    <n v="153653.84"/>
    <n v="129501.57999999999"/>
    <n v="0.84281382098878876"/>
    <s v="2023-09"/>
    <n v="435.28"/>
  </r>
  <r>
    <s v="ORD0271"/>
    <x v="3"/>
    <x v="3"/>
    <s v="Furniture"/>
    <x v="1"/>
    <x v="0"/>
    <x v="270"/>
    <n v="81"/>
    <n v="239.08"/>
    <n v="74.17"/>
    <n v="19365.48"/>
    <n v="13357.71"/>
    <n v="0.68976911494060567"/>
    <s v="2023-09"/>
    <n v="239.07999999999998"/>
  </r>
  <r>
    <s v="ORD0272"/>
    <x v="1"/>
    <x v="0"/>
    <s v="Clothing"/>
    <x v="1"/>
    <x v="0"/>
    <x v="271"/>
    <n v="404"/>
    <n v="270"/>
    <n v="156.29"/>
    <n v="109080"/>
    <n v="45938.840000000004"/>
    <n v="0.42114814814814816"/>
    <s v="2023-09"/>
    <n v="270"/>
  </r>
  <r>
    <s v="ORD0273"/>
    <x v="1"/>
    <x v="2"/>
    <s v="Clothing"/>
    <x v="1"/>
    <x v="0"/>
    <x v="272"/>
    <n v="73"/>
    <n v="93.33"/>
    <n v="162.13"/>
    <n v="6813.09"/>
    <n v="-5022.3999999999996"/>
    <n v="-0.73716918461373615"/>
    <s v="2023-09"/>
    <n v="93.33"/>
  </r>
  <r>
    <s v="ORD0274"/>
    <x v="1"/>
    <x v="1"/>
    <s v="Beverages"/>
    <x v="0"/>
    <x v="2"/>
    <x v="273"/>
    <n v="214"/>
    <n v="159.57"/>
    <n v="349.96"/>
    <n v="34147.979999999996"/>
    <n v="-40743.460000000006"/>
    <n v="-1.1931440747007587"/>
    <s v="2023-10"/>
    <n v="159.57"/>
  </r>
  <r>
    <s v="ORD0275"/>
    <x v="2"/>
    <x v="4"/>
    <s v="Beverages"/>
    <x v="1"/>
    <x v="1"/>
    <x v="274"/>
    <n v="218"/>
    <n v="118.97"/>
    <n v="205.02"/>
    <n v="25935.46"/>
    <n v="-18758.900000000001"/>
    <n v="-0.72329158611414646"/>
    <s v="2023-10"/>
    <n v="118.97"/>
  </r>
  <r>
    <s v="ORD0276"/>
    <x v="1"/>
    <x v="0"/>
    <s v="Electronics"/>
    <x v="1"/>
    <x v="0"/>
    <x v="275"/>
    <n v="81"/>
    <n v="107.06"/>
    <n v="289.92"/>
    <n v="8671.86"/>
    <n v="-14811.66"/>
    <n v="-1.7080141976461796"/>
    <s v="2023-10"/>
    <n v="107.06"/>
  </r>
  <r>
    <s v="ORD0277"/>
    <x v="2"/>
    <x v="1"/>
    <s v="Electronics"/>
    <x v="1"/>
    <x v="1"/>
    <x v="276"/>
    <n v="286"/>
    <n v="320.79000000000002"/>
    <n v="43.45"/>
    <n v="91745.94"/>
    <n v="79319.240000000005"/>
    <n v="0.86455313444932824"/>
    <s v="2023-10"/>
    <n v="320.79000000000002"/>
  </r>
  <r>
    <s v="ORD0278"/>
    <x v="3"/>
    <x v="4"/>
    <s v="Beverages"/>
    <x v="0"/>
    <x v="0"/>
    <x v="277"/>
    <n v="283"/>
    <n v="132.16"/>
    <n v="91.72"/>
    <n v="37401.279999999999"/>
    <n v="11444.52"/>
    <n v="0.30599273607748184"/>
    <s v="2023-10"/>
    <n v="132.16"/>
  </r>
  <r>
    <s v="ORD0279"/>
    <x v="2"/>
    <x v="1"/>
    <s v="Beverages"/>
    <x v="0"/>
    <x v="0"/>
    <x v="278"/>
    <n v="487"/>
    <n v="317.85000000000002"/>
    <n v="281.77"/>
    <n v="154792.95000000001"/>
    <n v="17570.960000000021"/>
    <n v="0.11351266320591487"/>
    <s v="2023-10"/>
    <n v="317.85000000000002"/>
  </r>
  <r>
    <s v="ORD0280"/>
    <x v="3"/>
    <x v="3"/>
    <s v="Food"/>
    <x v="1"/>
    <x v="1"/>
    <x v="279"/>
    <n v="329"/>
    <n v="33.94"/>
    <n v="23.02"/>
    <n v="11166.259999999998"/>
    <n v="3592.6799999999985"/>
    <n v="0.32174425456688266"/>
    <s v="2023-10"/>
    <n v="33.94"/>
  </r>
  <r>
    <s v="ORD0281"/>
    <x v="1"/>
    <x v="1"/>
    <s v="Clothing"/>
    <x v="0"/>
    <x v="2"/>
    <x v="280"/>
    <n v="347"/>
    <n v="75.180000000000007"/>
    <n v="195.67"/>
    <n v="26087.460000000003"/>
    <n v="-41810.029999999984"/>
    <n v="-1.602686884809789"/>
    <s v="2023-10"/>
    <n v="75.180000000000007"/>
  </r>
  <r>
    <s v="ORD0282"/>
    <x v="1"/>
    <x v="1"/>
    <s v="Electronics"/>
    <x v="1"/>
    <x v="0"/>
    <x v="281"/>
    <n v="375"/>
    <n v="140.9"/>
    <n v="240.55"/>
    <n v="52837.5"/>
    <n v="-37368.75"/>
    <n v="-0.70723917672107883"/>
    <s v="2023-10"/>
    <n v="140.9"/>
  </r>
  <r>
    <s v="ORD0283"/>
    <x v="3"/>
    <x v="1"/>
    <s v="Clothing"/>
    <x v="0"/>
    <x v="0"/>
    <x v="282"/>
    <n v="104"/>
    <n v="300.54000000000002"/>
    <n v="241.65"/>
    <n v="31256.160000000003"/>
    <n v="6124.5600000000013"/>
    <n v="0.1959472948692354"/>
    <s v="2023-10"/>
    <n v="300.54000000000002"/>
  </r>
  <r>
    <s v="ORD0284"/>
    <x v="0"/>
    <x v="0"/>
    <s v="Unknown"/>
    <x v="0"/>
    <x v="0"/>
    <x v="283"/>
    <n v="175"/>
    <n v="339.54"/>
    <n v="11.13"/>
    <n v="59419.5"/>
    <n v="57471.75"/>
    <n v="0.96722035695352537"/>
    <s v="2023-10"/>
    <n v="339.54"/>
  </r>
  <r>
    <s v="ORD0285"/>
    <x v="3"/>
    <x v="1"/>
    <s v="Beverages"/>
    <x v="0"/>
    <x v="1"/>
    <x v="284"/>
    <n v="41"/>
    <n v="224.14"/>
    <n v="130.19999999999999"/>
    <n v="9189.74"/>
    <n v="3851.54"/>
    <n v="0.41911305434103685"/>
    <s v="2023-10"/>
    <n v="224.14"/>
  </r>
  <r>
    <s v="ORD0286"/>
    <x v="0"/>
    <x v="4"/>
    <s v="Food"/>
    <x v="0"/>
    <x v="2"/>
    <x v="285"/>
    <n v="20"/>
    <n v="225.67"/>
    <n v="255.32"/>
    <n v="4513.3999999999996"/>
    <n v="-593"/>
    <n v="-0.13138653786502416"/>
    <s v="2023-10"/>
    <n v="225.67"/>
  </r>
  <r>
    <s v="ORD0287"/>
    <x v="2"/>
    <x v="3"/>
    <s v="Furniture"/>
    <x v="1"/>
    <x v="1"/>
    <x v="286"/>
    <n v="310"/>
    <n v="363.64"/>
    <n v="61.3"/>
    <n v="112728.4"/>
    <n v="93725.4"/>
    <n v="0.83142668573314271"/>
    <s v="2023-10"/>
    <n v="363.64"/>
  </r>
  <r>
    <s v="ORD0288"/>
    <x v="2"/>
    <x v="3"/>
    <s v="Food"/>
    <x v="1"/>
    <x v="1"/>
    <x v="287"/>
    <n v="226"/>
    <n v="249.64520588235297"/>
    <n v="278.77999999999997"/>
    <n v="56419.816529411772"/>
    <n v="-6584.4634705882199"/>
    <n v="-0.11670480117842505"/>
    <s v="2023-10"/>
    <n v="249.64520588235297"/>
  </r>
  <r>
    <s v="ORD0289"/>
    <x v="2"/>
    <x v="1"/>
    <s v="Food"/>
    <x v="1"/>
    <x v="2"/>
    <x v="288"/>
    <n v="255.90294117647059"/>
    <n v="173.84"/>
    <n v="298.88"/>
    <n v="44486.167294117651"/>
    <n v="-31998.103764705884"/>
    <n v="-0.71928209848136215"/>
    <s v="2023-10"/>
    <n v="173.84"/>
  </r>
  <r>
    <s v="ORD0290"/>
    <x v="1"/>
    <x v="0"/>
    <s v="Clothing"/>
    <x v="0"/>
    <x v="1"/>
    <x v="289"/>
    <n v="111"/>
    <n v="410.26"/>
    <n v="392.82"/>
    <n v="45538.86"/>
    <n v="1935.8400000000038"/>
    <n v="4.2509628040754727E-2"/>
    <s v="2023-10"/>
    <n v="410.26"/>
  </r>
  <r>
    <s v="ORD0291"/>
    <x v="2"/>
    <x v="0"/>
    <s v="Food"/>
    <x v="1"/>
    <x v="2"/>
    <x v="290"/>
    <n v="434"/>
    <n v="303.58999999999997"/>
    <n v="85.52"/>
    <n v="131758.06"/>
    <n v="94642.38"/>
    <n v="0.71830429197272638"/>
    <s v="2023-10"/>
    <n v="303.58999999999997"/>
  </r>
  <r>
    <s v="ORD0292"/>
    <x v="0"/>
    <x v="4"/>
    <s v="Electronics"/>
    <x v="1"/>
    <x v="0"/>
    <x v="291"/>
    <n v="401"/>
    <n v="171.93"/>
    <n v="330.4"/>
    <n v="68943.930000000008"/>
    <n v="-63546.469999999987"/>
    <n v="-0.92171232478334175"/>
    <s v="2023-10"/>
    <n v="171.93"/>
  </r>
  <r>
    <s v="ORD0293"/>
    <x v="2"/>
    <x v="1"/>
    <s v="Clothing"/>
    <x v="1"/>
    <x v="2"/>
    <x v="292"/>
    <n v="276"/>
    <n v="453.23"/>
    <n v="209.08"/>
    <n v="125091.48000000001"/>
    <n v="67385.400000000009"/>
    <n v="0.5386889658672197"/>
    <s v="2023-10"/>
    <n v="453.23"/>
  </r>
  <r>
    <s v="ORD0294"/>
    <x v="3"/>
    <x v="3"/>
    <s v="Electronics"/>
    <x v="0"/>
    <x v="0"/>
    <x v="293"/>
    <n v="255.90294117647059"/>
    <n v="387.45"/>
    <n v="150.63999999999999"/>
    <n v="99149.594558823534"/>
    <n v="60600.375500000009"/>
    <n v="0.61120144534778686"/>
    <s v="2023-10"/>
    <n v="387.45"/>
  </r>
  <r>
    <s v="ORD0295"/>
    <x v="3"/>
    <x v="0"/>
    <s v="Furniture"/>
    <x v="0"/>
    <x v="1"/>
    <x v="294"/>
    <n v="188"/>
    <n v="136.12"/>
    <n v="50.71"/>
    <n v="25590.560000000001"/>
    <n v="16057.080000000002"/>
    <n v="0.62746106376726418"/>
    <s v="2023-10"/>
    <n v="136.12"/>
  </r>
  <r>
    <s v="ORD0296"/>
    <x v="1"/>
    <x v="1"/>
    <s v="Clothing"/>
    <x v="0"/>
    <x v="1"/>
    <x v="295"/>
    <n v="97"/>
    <n v="324.42"/>
    <n v="294.73"/>
    <n v="31468.74"/>
    <n v="2879.9300000000003"/>
    <n v="9.1517169101781648E-2"/>
    <s v="2023-10"/>
    <n v="324.42"/>
  </r>
  <r>
    <s v="ORD0297"/>
    <x v="3"/>
    <x v="0"/>
    <s v="Furniture"/>
    <x v="1"/>
    <x v="0"/>
    <x v="296"/>
    <n v="50"/>
    <n v="299.89999999999998"/>
    <n v="95.87"/>
    <n v="14994.999999999998"/>
    <n v="10201.499999999998"/>
    <n v="0.68032677559186394"/>
    <s v="2023-10"/>
    <n v="299.89999999999998"/>
  </r>
  <r>
    <s v="ORD0298"/>
    <x v="0"/>
    <x v="0"/>
    <s v="Clothing"/>
    <x v="1"/>
    <x v="1"/>
    <x v="297"/>
    <n v="410"/>
    <n v="203.59"/>
    <n v="149.83000000000001"/>
    <n v="83471.899999999994"/>
    <n v="22041.599999999991"/>
    <n v="0.26406012083108199"/>
    <s v="2023-10"/>
    <n v="203.58999999999997"/>
  </r>
  <r>
    <s v="ORD0299"/>
    <x v="2"/>
    <x v="3"/>
    <s v="Beverages"/>
    <x v="1"/>
    <x v="2"/>
    <x v="298"/>
    <n v="85"/>
    <n v="186.64"/>
    <n v="26.89"/>
    <n v="15864.4"/>
    <n v="13578.75"/>
    <n v="0.8559258465495071"/>
    <s v="2023-10"/>
    <n v="186.64"/>
  </r>
  <r>
    <s v="ORD0300"/>
    <x v="1"/>
    <x v="2"/>
    <s v="Food"/>
    <x v="0"/>
    <x v="0"/>
    <x v="299"/>
    <n v="386"/>
    <n v="175.06"/>
    <n v="320.94"/>
    <n v="67573.16"/>
    <n v="-56309.679999999993"/>
    <n v="-0.83331429224265952"/>
    <s v="2023-10"/>
    <n v="175.06"/>
  </r>
  <r>
    <s v="ORD0301"/>
    <x v="2"/>
    <x v="4"/>
    <s v="Beverages"/>
    <x v="0"/>
    <x v="1"/>
    <x v="300"/>
    <n v="55"/>
    <n v="310.49"/>
    <n v="307.10000000000002"/>
    <n v="17076.95"/>
    <n v="186.45000000000073"/>
    <n v="1.0918226029823869E-2"/>
    <s v="2023-10"/>
    <n v="310.49"/>
  </r>
  <r>
    <s v="ORD0302"/>
    <x v="2"/>
    <x v="4"/>
    <s v="Furniture"/>
    <x v="1"/>
    <x v="0"/>
    <x v="301"/>
    <n v="169"/>
    <n v="223.99"/>
    <n v="293.98"/>
    <n v="37854.310000000005"/>
    <n v="-11828.309999999998"/>
    <n v="-0.31246930666547601"/>
    <s v="2023-10"/>
    <n v="223.99000000000004"/>
  </r>
  <r>
    <s v="ORD0303"/>
    <x v="0"/>
    <x v="3"/>
    <s v="Food"/>
    <x v="0"/>
    <x v="2"/>
    <x v="302"/>
    <n v="472"/>
    <n v="416.77"/>
    <n v="121.18"/>
    <n v="196715.44"/>
    <n v="139518.47999999998"/>
    <n v="0.70924010845310348"/>
    <s v="2023-10"/>
    <n v="416.77"/>
  </r>
  <r>
    <s v="ORD0304"/>
    <x v="3"/>
    <x v="0"/>
    <s v="Clothing"/>
    <x v="0"/>
    <x v="2"/>
    <x v="303"/>
    <n v="89"/>
    <n v="336.45"/>
    <n v="71.05"/>
    <n v="29944.05"/>
    <n v="23620.6"/>
    <n v="0.78882449100906527"/>
    <s v="2023-10"/>
    <n v="336.45"/>
  </r>
  <r>
    <s v="ORD0305"/>
    <x v="3"/>
    <x v="1"/>
    <s v="Food"/>
    <x v="0"/>
    <x v="1"/>
    <x v="304"/>
    <n v="319"/>
    <n v="39.619999999999997"/>
    <n v="255.75"/>
    <n v="12638.779999999999"/>
    <n v="-68945.47"/>
    <n v="-5.4550731953558813"/>
    <s v="2023-11"/>
    <n v="39.619999999999997"/>
  </r>
  <r>
    <s v="ORD0306"/>
    <x v="2"/>
    <x v="0"/>
    <s v="Unknown"/>
    <x v="0"/>
    <x v="2"/>
    <x v="305"/>
    <n v="95"/>
    <n v="321.88"/>
    <n v="199.47"/>
    <n v="30578.6"/>
    <n v="11628.949999999997"/>
    <n v="0.38029700509506642"/>
    <s v="2023-11"/>
    <n v="321.88"/>
  </r>
  <r>
    <s v="ORD0307"/>
    <x v="1"/>
    <x v="3"/>
    <s v="Unknown"/>
    <x v="1"/>
    <x v="0"/>
    <x v="306"/>
    <n v="101"/>
    <n v="139.22"/>
    <n v="72.94"/>
    <n v="14061.22"/>
    <n v="6694.28"/>
    <n v="0.47608102284154574"/>
    <s v="2023-11"/>
    <n v="139.22"/>
  </r>
  <r>
    <s v="ORD0308"/>
    <x v="3"/>
    <x v="4"/>
    <s v="Unknown"/>
    <x v="0"/>
    <x v="2"/>
    <x v="307"/>
    <n v="157"/>
    <n v="249.64520588235297"/>
    <n v="274.99"/>
    <n v="39194.297323529419"/>
    <n v="-3979.1326764705809"/>
    <n v="-0.10152325588655975"/>
    <s v="2023-11"/>
    <n v="249.645205882353"/>
  </r>
  <r>
    <s v="ORD0309"/>
    <x v="1"/>
    <x v="0"/>
    <s v="Food"/>
    <x v="0"/>
    <x v="0"/>
    <x v="308"/>
    <n v="170"/>
    <n v="341.67"/>
    <n v="396.47"/>
    <n v="58083.9"/>
    <n v="-9316.0000000000073"/>
    <n v="-0.16038867913483784"/>
    <s v="2023-11"/>
    <n v="341.67"/>
  </r>
  <r>
    <s v="ORD0310"/>
    <x v="3"/>
    <x v="4"/>
    <s v="Electronics"/>
    <x v="0"/>
    <x v="0"/>
    <x v="309"/>
    <n v="211"/>
    <n v="119.26"/>
    <n v="299.39"/>
    <n v="25163.86"/>
    <n v="-38007.429999999993"/>
    <n v="-1.5103974509475093"/>
    <s v="2023-11"/>
    <n v="119.26"/>
  </r>
  <r>
    <s v="ORD0311"/>
    <x v="1"/>
    <x v="1"/>
    <s v="Furniture"/>
    <x v="0"/>
    <x v="2"/>
    <x v="310"/>
    <n v="433"/>
    <n v="231.15"/>
    <n v="296.51"/>
    <n v="100087.95"/>
    <n v="-28300.880000000005"/>
    <n v="-0.28276011248107297"/>
    <s v="2023-11"/>
    <n v="231.15"/>
  </r>
  <r>
    <s v="ORD0312"/>
    <x v="0"/>
    <x v="4"/>
    <s v="Beverages"/>
    <x v="1"/>
    <x v="1"/>
    <x v="311"/>
    <n v="425"/>
    <n v="99.21"/>
    <n v="380.22"/>
    <n v="42164.25"/>
    <n v="-119429.25"/>
    <n v="-2.8324765648624131"/>
    <s v="2023-11"/>
    <n v="99.21"/>
  </r>
  <r>
    <s v="ORD0313"/>
    <x v="1"/>
    <x v="4"/>
    <s v="Clothing"/>
    <x v="1"/>
    <x v="2"/>
    <x v="312"/>
    <n v="251"/>
    <n v="30.91"/>
    <n v="82.77"/>
    <n v="7758.41"/>
    <n v="-13016.86"/>
    <n v="-1.6777741831122615"/>
    <s v="2023-11"/>
    <n v="30.91"/>
  </r>
  <r>
    <s v="ORD0314"/>
    <x v="0"/>
    <x v="2"/>
    <s v="Food"/>
    <x v="0"/>
    <x v="0"/>
    <x v="313"/>
    <n v="255.90294117647059"/>
    <n v="192.35"/>
    <n v="227.09"/>
    <n v="49222.930735294118"/>
    <n v="-8890.0681764705878"/>
    <n v="-0.18060826618144007"/>
    <s v="2023-11"/>
    <n v="192.35"/>
  </r>
  <r>
    <s v="ORD0315"/>
    <x v="0"/>
    <x v="2"/>
    <s v="Beverages"/>
    <x v="0"/>
    <x v="0"/>
    <x v="314"/>
    <n v="11"/>
    <n v="184.66"/>
    <n v="391.9"/>
    <n v="2031.26"/>
    <n v="-2279.6399999999994"/>
    <n v="-1.1222787826275313"/>
    <s v="2023-11"/>
    <n v="184.66"/>
  </r>
  <r>
    <s v="ORD0316"/>
    <x v="1"/>
    <x v="2"/>
    <s v="Clothing"/>
    <x v="0"/>
    <x v="2"/>
    <x v="315"/>
    <n v="234"/>
    <n v="497.76"/>
    <n v="67.790000000000006"/>
    <n v="116475.84"/>
    <n v="100612.98"/>
    <n v="0.86380986820957895"/>
    <s v="2023-11"/>
    <n v="497.76"/>
  </r>
  <r>
    <s v="ORD0317"/>
    <x v="0"/>
    <x v="4"/>
    <s v="Clothing"/>
    <x v="0"/>
    <x v="1"/>
    <x v="316"/>
    <n v="255.90294117647059"/>
    <n v="225.94"/>
    <n v="280.7"/>
    <n v="57818.710529411765"/>
    <n v="-14013.245058823522"/>
    <n v="-0.24236522970700175"/>
    <s v="2023-11"/>
    <n v="225.94"/>
  </r>
  <r>
    <s v="ORD0318"/>
    <x v="2"/>
    <x v="3"/>
    <s v="Electronics"/>
    <x v="0"/>
    <x v="1"/>
    <x v="317"/>
    <n v="242"/>
    <n v="170.12"/>
    <n v="235.15"/>
    <n v="41169.040000000001"/>
    <n v="-15737.260000000002"/>
    <n v="-0.38225958147190225"/>
    <s v="2023-11"/>
    <n v="170.12"/>
  </r>
  <r>
    <s v="ORD0319"/>
    <x v="0"/>
    <x v="4"/>
    <s v="Furniture"/>
    <x v="0"/>
    <x v="0"/>
    <x v="318"/>
    <n v="470"/>
    <n v="292.33999999999997"/>
    <n v="235.42"/>
    <n v="137399.79999999999"/>
    <n v="26752.399999999994"/>
    <n v="0.19470479578572891"/>
    <s v="2023-11"/>
    <n v="292.33999999999997"/>
  </r>
  <r>
    <s v="ORD0320"/>
    <x v="3"/>
    <x v="3"/>
    <s v="Furniture"/>
    <x v="1"/>
    <x v="0"/>
    <x v="319"/>
    <n v="423"/>
    <n v="48.94"/>
    <n v="279.67"/>
    <n v="20701.62"/>
    <n v="-97598.790000000008"/>
    <n v="-4.7145484266448721"/>
    <s v="2023-11"/>
    <n v="48.94"/>
  </r>
  <r>
    <s v="ORD0321"/>
    <x v="1"/>
    <x v="3"/>
    <s v="Beverages"/>
    <x v="0"/>
    <x v="1"/>
    <x v="320"/>
    <n v="426"/>
    <n v="481.02"/>
    <n v="371.99"/>
    <n v="204914.52"/>
    <n v="46446.78"/>
    <n v="0.22666417196790156"/>
    <s v="2023-11"/>
    <n v="481.02"/>
  </r>
  <r>
    <s v="ORD0322"/>
    <x v="2"/>
    <x v="2"/>
    <s v="Furniture"/>
    <x v="1"/>
    <x v="2"/>
    <x v="321"/>
    <n v="86"/>
    <n v="319.31"/>
    <n v="313.47000000000003"/>
    <n v="27460.66"/>
    <n v="502.23999999999796"/>
    <n v="1.828943659766364E-2"/>
    <s v="2023-11"/>
    <n v="319.31"/>
  </r>
  <r>
    <s v="ORD0323"/>
    <x v="1"/>
    <x v="0"/>
    <s v="Food"/>
    <x v="1"/>
    <x v="0"/>
    <x v="322"/>
    <n v="125"/>
    <n v="378.64"/>
    <n v="24.34"/>
    <n v="47330"/>
    <n v="44287.5"/>
    <n v="0.93571730403549547"/>
    <s v="2023-11"/>
    <n v="378.64"/>
  </r>
  <r>
    <s v="ORD0324"/>
    <x v="3"/>
    <x v="1"/>
    <s v="Unknown"/>
    <x v="0"/>
    <x v="0"/>
    <x v="323"/>
    <n v="163"/>
    <n v="89.39"/>
    <n v="341.39"/>
    <n v="14570.57"/>
    <n v="-41076"/>
    <n v="-2.8191072826938135"/>
    <s v="2023-11"/>
    <n v="89.39"/>
  </r>
  <r>
    <s v="ORD0325"/>
    <x v="3"/>
    <x v="2"/>
    <s v="Beverages"/>
    <x v="1"/>
    <x v="1"/>
    <x v="324"/>
    <n v="415"/>
    <n v="207.69"/>
    <n v="91.77"/>
    <n v="86191.35"/>
    <n v="48106.80000000001"/>
    <n v="0.55813953488372103"/>
    <s v="2023-11"/>
    <n v="207.69000000000003"/>
  </r>
  <r>
    <s v="ORD0326"/>
    <x v="3"/>
    <x v="2"/>
    <s v="Furniture"/>
    <x v="1"/>
    <x v="2"/>
    <x v="325"/>
    <n v="112"/>
    <n v="214.23"/>
    <n v="152.01"/>
    <n v="23993.759999999998"/>
    <n v="6968.6399999999994"/>
    <n v="0.29043551323344069"/>
    <s v="2023-11"/>
    <n v="214.23"/>
  </r>
  <r>
    <s v="ORD0327"/>
    <x v="0"/>
    <x v="0"/>
    <s v="Food"/>
    <x v="1"/>
    <x v="1"/>
    <x v="326"/>
    <n v="203"/>
    <n v="411.79"/>
    <n v="185.77"/>
    <n v="83593.37000000001"/>
    <n v="45882.060000000005"/>
    <n v="0.54887199786298846"/>
    <s v="2023-11"/>
    <n v="411.79"/>
  </r>
  <r>
    <s v="ORD0328"/>
    <x v="0"/>
    <x v="1"/>
    <s v="Electronics"/>
    <x v="1"/>
    <x v="2"/>
    <x v="327"/>
    <n v="255.90294117647059"/>
    <n v="5.61"/>
    <n v="193.4"/>
    <n v="1435.6155000000001"/>
    <n v="-48056.013323529412"/>
    <n v="-33.474153297682705"/>
    <s v="2023-11"/>
    <n v="5.61"/>
  </r>
  <r>
    <s v="ORD0329"/>
    <x v="1"/>
    <x v="4"/>
    <s v="Beverages"/>
    <x v="1"/>
    <x v="2"/>
    <x v="328"/>
    <n v="368"/>
    <n v="153.91999999999999"/>
    <n v="175.2"/>
    <n v="56642.559999999998"/>
    <n v="-7831.0400000000009"/>
    <n v="-0.13825363825363826"/>
    <s v="2023-11"/>
    <n v="153.91999999999999"/>
  </r>
  <r>
    <s v="ORD0330"/>
    <x v="1"/>
    <x v="4"/>
    <s v="Electronics"/>
    <x v="1"/>
    <x v="2"/>
    <x v="329"/>
    <n v="99"/>
    <n v="490.71"/>
    <n v="375.07"/>
    <n v="48580.29"/>
    <n v="11448.36"/>
    <n v="0.23565853559128611"/>
    <s v="2023-11"/>
    <n v="490.71000000000004"/>
  </r>
  <r>
    <s v="ORD0331"/>
    <x v="2"/>
    <x v="2"/>
    <s v="Electronics"/>
    <x v="0"/>
    <x v="0"/>
    <x v="330"/>
    <n v="183"/>
    <n v="240.07"/>
    <n v="283"/>
    <n v="43932.81"/>
    <n v="-7856.1900000000023"/>
    <n v="-0.17882284333736001"/>
    <s v="2023-11"/>
    <n v="240.07"/>
  </r>
  <r>
    <s v="ORD0332"/>
    <x v="1"/>
    <x v="1"/>
    <s v="Electronics"/>
    <x v="1"/>
    <x v="1"/>
    <x v="331"/>
    <n v="131"/>
    <n v="194.35"/>
    <n v="253.21"/>
    <n v="25459.85"/>
    <n v="-7710.6600000000035"/>
    <n v="-0.30285567275533848"/>
    <s v="2023-11"/>
    <n v="194.35"/>
  </r>
  <r>
    <s v="ORD0333"/>
    <x v="1"/>
    <x v="2"/>
    <s v="Clothing"/>
    <x v="1"/>
    <x v="1"/>
    <x v="332"/>
    <n v="152"/>
    <n v="64.319999999999993"/>
    <n v="21.84"/>
    <n v="9776.64"/>
    <n v="6456.9599999999991"/>
    <n v="0.66044776119402981"/>
    <s v="2023-11"/>
    <n v="64.319999999999993"/>
  </r>
  <r>
    <s v="ORD0334"/>
    <x v="0"/>
    <x v="3"/>
    <s v="Clothing"/>
    <x v="1"/>
    <x v="2"/>
    <x v="333"/>
    <n v="491"/>
    <n v="487.21"/>
    <n v="361.76"/>
    <n v="239220.11"/>
    <n v="61595.949999999983"/>
    <n v="0.25748650479259449"/>
    <s v="2023-11"/>
    <n v="487.21"/>
  </r>
  <r>
    <s v="ORD0335"/>
    <x v="3"/>
    <x v="2"/>
    <s v="Electronics"/>
    <x v="0"/>
    <x v="0"/>
    <x v="334"/>
    <n v="115"/>
    <n v="14.91"/>
    <n v="363.94"/>
    <n v="1714.65"/>
    <n v="-40138.449999999997"/>
    <n v="-23.409121395036884"/>
    <s v="2023-12"/>
    <n v="14.91"/>
  </r>
  <r>
    <s v="ORD0336"/>
    <x v="1"/>
    <x v="2"/>
    <s v="Beverages"/>
    <x v="1"/>
    <x v="0"/>
    <x v="335"/>
    <n v="384"/>
    <n v="369.9"/>
    <n v="312.52"/>
    <n v="142041.59999999998"/>
    <n v="22033.919999999984"/>
    <n v="0.15512300621789665"/>
    <s v="2023-12"/>
    <n v="369.89999999999992"/>
  </r>
  <r>
    <s v="ORD0337"/>
    <x v="2"/>
    <x v="4"/>
    <s v="Food"/>
    <x v="0"/>
    <x v="1"/>
    <x v="336"/>
    <n v="437"/>
    <n v="385.46"/>
    <n v="4.8"/>
    <n v="168446.02"/>
    <n v="166348.41999999998"/>
    <n v="0.98754734602812222"/>
    <s v="2023-12"/>
    <n v="385.46"/>
  </r>
  <r>
    <s v="ORD0338"/>
    <x v="0"/>
    <x v="4"/>
    <s v="Food"/>
    <x v="1"/>
    <x v="0"/>
    <x v="337"/>
    <n v="314"/>
    <n v="125.61"/>
    <n v="24.8"/>
    <n v="39441.54"/>
    <n v="31654.34"/>
    <n v="0.80256349016798023"/>
    <s v="2023-12"/>
    <n v="125.61"/>
  </r>
  <r>
    <s v="ORD0339"/>
    <x v="1"/>
    <x v="4"/>
    <s v="Furniture"/>
    <x v="0"/>
    <x v="0"/>
    <x v="338"/>
    <n v="369"/>
    <n v="337.42"/>
    <n v="91.64"/>
    <n v="124507.98000000001"/>
    <n v="90692.82"/>
    <n v="0.72840969711338988"/>
    <s v="2023-12"/>
    <n v="337.42"/>
  </r>
  <r>
    <s v="ORD0340"/>
    <x v="1"/>
    <x v="3"/>
    <s v="Beverages"/>
    <x v="0"/>
    <x v="2"/>
    <x v="339"/>
    <n v="468"/>
    <n v="51"/>
    <n v="54.28"/>
    <n v="23868"/>
    <n v="-1535.0400000000009"/>
    <n v="-6.4313725490196122E-2"/>
    <s v="2023-12"/>
    <n v="51"/>
  </r>
  <r>
    <s v="ORD0341"/>
    <x v="0"/>
    <x v="4"/>
    <s v="Clothing"/>
    <x v="1"/>
    <x v="0"/>
    <x v="340"/>
    <n v="326"/>
    <n v="132.24"/>
    <n v="160.74"/>
    <n v="43110.240000000005"/>
    <n v="-9291"/>
    <n v="-0.21551724137931033"/>
    <s v="2023-12"/>
    <n v="132.24"/>
  </r>
  <r>
    <s v="ORD0342"/>
    <x v="1"/>
    <x v="1"/>
    <s v="Electronics"/>
    <x v="1"/>
    <x v="2"/>
    <x v="341"/>
    <n v="460"/>
    <n v="395.01"/>
    <n v="369.2"/>
    <n v="181704.6"/>
    <n v="11872.600000000006"/>
    <n v="6.5340117971696948E-2"/>
    <s v="2023-12"/>
    <n v="395.01"/>
  </r>
  <r>
    <s v="ORD0343"/>
    <x v="0"/>
    <x v="0"/>
    <s v="Furniture"/>
    <x v="0"/>
    <x v="1"/>
    <x v="342"/>
    <n v="132"/>
    <n v="433.02"/>
    <n v="189.88"/>
    <n v="57158.64"/>
    <n v="32094.48"/>
    <n v="0.56149831416562745"/>
    <s v="2023-12"/>
    <n v="433.02"/>
  </r>
  <r>
    <s v="ORD0344"/>
    <x v="3"/>
    <x v="1"/>
    <s v="Food"/>
    <x v="1"/>
    <x v="0"/>
    <x v="343"/>
    <n v="399"/>
    <n v="306.2"/>
    <n v="7.33"/>
    <n v="122173.79999999999"/>
    <n v="119249.12999999999"/>
    <n v="0.97606139777922929"/>
    <s v="2023-12"/>
    <n v="306.2"/>
  </r>
  <r>
    <s v="ORD0345"/>
    <x v="0"/>
    <x v="1"/>
    <s v="Clothing"/>
    <x v="0"/>
    <x v="1"/>
    <x v="344"/>
    <n v="18"/>
    <n v="255.89"/>
    <n v="114.53"/>
    <n v="4606.0199999999995"/>
    <n v="2544.4799999999996"/>
    <n v="0.55242487006135443"/>
    <s v="2023-12"/>
    <n v="255.89"/>
  </r>
  <r>
    <s v="ORD0346"/>
    <x v="0"/>
    <x v="4"/>
    <s v="Clothing"/>
    <x v="0"/>
    <x v="1"/>
    <x v="345"/>
    <n v="271"/>
    <n v="83.86"/>
    <n v="19.75"/>
    <n v="22726.06"/>
    <n v="17373.810000000001"/>
    <n v="0.76448843310279035"/>
    <s v="2023-12"/>
    <n v="83.86"/>
  </r>
  <r>
    <s v="ORD0347"/>
    <x v="1"/>
    <x v="0"/>
    <s v="Electronics"/>
    <x v="0"/>
    <x v="0"/>
    <x v="346"/>
    <n v="82"/>
    <n v="36.24"/>
    <n v="16.440000000000001"/>
    <n v="2971.6800000000003"/>
    <n v="1623.6000000000001"/>
    <n v="0.54635761589403975"/>
    <s v="2023-12"/>
    <n v="36.24"/>
  </r>
  <r>
    <s v="ORD0348"/>
    <x v="1"/>
    <x v="0"/>
    <s v="Food"/>
    <x v="0"/>
    <x v="0"/>
    <x v="347"/>
    <n v="368"/>
    <n v="63.24"/>
    <n v="111.74"/>
    <n v="23272.32"/>
    <n v="-17848"/>
    <n v="-0.76691967109424419"/>
    <s v="2023-12"/>
    <n v="63.24"/>
  </r>
  <r>
    <s v="ORD0349"/>
    <x v="1"/>
    <x v="0"/>
    <s v="Beverages"/>
    <x v="0"/>
    <x v="1"/>
    <x v="348"/>
    <n v="232"/>
    <n v="117.54"/>
    <n v="111.69"/>
    <n v="27269.280000000002"/>
    <n v="1357.2000000000044"/>
    <n v="4.9770290964778106E-2"/>
    <s v="2023-12"/>
    <n v="117.54"/>
  </r>
  <r>
    <s v="ORD0350"/>
    <x v="0"/>
    <x v="3"/>
    <s v="Clothing"/>
    <x v="1"/>
    <x v="0"/>
    <x v="349"/>
    <n v="425"/>
    <n v="174.13"/>
    <n v="315.27999999999997"/>
    <n v="74005.25"/>
    <n v="-59988.75"/>
    <n v="-0.81060127490955036"/>
    <s v="2023-12"/>
    <n v="174.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4A9686-E68C-4D3C-AF55-3FAF661A1FF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4:B9" firstHeaderRow="1" firstDataRow="1" firstDataCol="1"/>
  <pivotFields count="12">
    <pivotField compact="0" outline="0" showAll="0"/>
    <pivotField name="Region" axis="axisRow" compact="0" outline="0" showAll="0">
      <items count="5">
        <item x="0"/>
        <item x="2"/>
        <item x="3"/>
        <item x="1"/>
        <item t="default"/>
      </items>
    </pivotField>
    <pivotField compact="0" outline="0" showAll="0"/>
    <pivotField compact="0" outline="0" showAll="0"/>
    <pivotField compact="0" outline="0" showAll="0"/>
    <pivotField compact="0" outline="0" showAll="0"/>
    <pivotField compact="0" numFmtId="22" outline="0" showAll="0"/>
    <pivotField compact="0" numFmtId="1" outline="0" showAll="0"/>
    <pivotField compact="0" numFmtId="2" outline="0" showAll="0"/>
    <pivotField compact="0" outline="0" showAll="0"/>
    <pivotField compact="0" outline="0" showAll="0"/>
    <pivotField dataField="1" compact="0" numFmtId="4" outline="0" showAll="0"/>
  </pivotFields>
  <rowFields count="1">
    <field x="1"/>
  </rowFields>
  <rowItems count="5">
    <i>
      <x/>
    </i>
    <i>
      <x v="1"/>
    </i>
    <i>
      <x v="2"/>
    </i>
    <i>
      <x v="3"/>
    </i>
    <i t="grand">
      <x/>
    </i>
  </rowItems>
  <colItems count="1">
    <i/>
  </colItems>
  <dataFields count="1">
    <dataField name="Average of Profit" fld="11" subtotal="average" baseField="0" baseItem="0" numFmtId="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FB9773-05F0-46B8-A379-77DE982DB8D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33" firstHeaderRow="1" firstDataRow="1" firstDataCol="2"/>
  <pivotFields count="12">
    <pivotField compact="0" outline="0" showAll="0"/>
    <pivotField name="Region" axis="axisRow" compact="0" outline="0" showAll="0">
      <items count="5">
        <item x="0"/>
        <item x="2"/>
        <item x="3"/>
        <item x="1"/>
        <item t="default"/>
      </items>
    </pivotField>
    <pivotField compact="0" outline="0" showAll="0"/>
    <pivotField name="Catgory " axis="axisRow" compact="0" outline="0" showAll="0">
      <items count="7">
        <item x="0"/>
        <item x="2"/>
        <item x="4"/>
        <item x="1"/>
        <item x="3"/>
        <item x="5"/>
        <item t="default"/>
      </items>
    </pivotField>
    <pivotField compact="0" outline="0" showAll="0"/>
    <pivotField compact="0" outline="0" showAll="0"/>
    <pivotField compact="0" numFmtId="22" outline="0" showAll="0"/>
    <pivotField compact="0" numFmtId="1" outline="0" showAll="0"/>
    <pivotField compact="0" numFmtId="2" outline="0" showAll="0"/>
    <pivotField compact="0" outline="0" showAll="0"/>
    <pivotField dataField="1" compact="0" outline="0" showAll="0"/>
    <pivotField compact="0" numFmtId="4" outline="0" showAll="0"/>
  </pivotFields>
  <rowFields count="2">
    <field x="1"/>
    <field x="3"/>
  </rowFields>
  <rowItems count="29">
    <i>
      <x/>
      <x/>
    </i>
    <i r="1">
      <x v="1"/>
    </i>
    <i r="1">
      <x v="2"/>
    </i>
    <i r="1">
      <x v="3"/>
    </i>
    <i r="1">
      <x v="4"/>
    </i>
    <i r="1">
      <x v="5"/>
    </i>
    <i t="default">
      <x/>
    </i>
    <i>
      <x v="1"/>
      <x/>
    </i>
    <i r="1">
      <x v="1"/>
    </i>
    <i r="1">
      <x v="2"/>
    </i>
    <i r="1">
      <x v="3"/>
    </i>
    <i r="1">
      <x v="4"/>
    </i>
    <i r="1">
      <x v="5"/>
    </i>
    <i t="default">
      <x v="1"/>
    </i>
    <i>
      <x v="2"/>
      <x/>
    </i>
    <i r="1">
      <x v="1"/>
    </i>
    <i r="1">
      <x v="2"/>
    </i>
    <i r="1">
      <x v="3"/>
    </i>
    <i r="1">
      <x v="4"/>
    </i>
    <i r="1">
      <x v="5"/>
    </i>
    <i t="default">
      <x v="2"/>
    </i>
    <i>
      <x v="3"/>
      <x/>
    </i>
    <i r="1">
      <x v="1"/>
    </i>
    <i r="1">
      <x v="2"/>
    </i>
    <i r="1">
      <x v="3"/>
    </i>
    <i r="1">
      <x v="4"/>
    </i>
    <i r="1">
      <x v="5"/>
    </i>
    <i t="default">
      <x v="3"/>
    </i>
    <i t="grand">
      <x/>
    </i>
  </rowItems>
  <colItems count="1">
    <i/>
  </colItems>
  <dataFields count="1">
    <dataField name="Total Sal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9EB94F-F59C-4993-A4D3-70DB0C2A70F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17">
    <pivotField showAll="0"/>
    <pivotField showAll="0"/>
    <pivotField showAll="0"/>
    <pivotField showAll="0"/>
    <pivotField showAll="0">
      <items count="3">
        <item x="1"/>
        <item x="0"/>
        <item t="default"/>
      </items>
    </pivotField>
    <pivotField showAll="0">
      <items count="4">
        <item x="0"/>
        <item x="1"/>
        <item x="2"/>
        <item t="default"/>
      </items>
    </pivotField>
    <pivotField numFmtId="22"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umFmtId="1" showAll="0"/>
    <pivotField numFmtId="2" showAll="0"/>
    <pivotField showAll="0"/>
    <pivotField dataField="1" showAll="0"/>
    <pivotField dataField="1" numFmtId="4" showAll="0"/>
    <pivotField numFmtId="164" showAll="0"/>
    <pivotField showAll="0"/>
    <pivotField numFmtId="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6"/>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Revenue" fld="10" baseField="0" baseItem="0"/>
    <dataField name="Sum of Profit" fld="11" baseField="0"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5A2447-097F-403B-85AB-0C9600E0852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1" firstHeaderRow="1" firstDataRow="1" firstDataCol="1"/>
  <pivotFields count="17">
    <pivotField showAll="0"/>
    <pivotField showAll="0"/>
    <pivotField axis="axisRow" showAll="0">
      <items count="6">
        <item x="4"/>
        <item x="0"/>
        <item x="1"/>
        <item x="3"/>
        <item x="2"/>
        <item t="default"/>
      </items>
    </pivotField>
    <pivotField showAll="0"/>
    <pivotField showAll="0">
      <items count="3">
        <item x="1"/>
        <item x="0"/>
        <item t="default"/>
      </items>
    </pivotField>
    <pivotField dataField="1" showAll="0">
      <items count="4">
        <item x="0"/>
        <item x="1"/>
        <item x="2"/>
        <item t="default"/>
      </items>
    </pivotField>
    <pivotField numFmtId="22"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umFmtId="1" showAll="0"/>
    <pivotField numFmtId="2" showAll="0"/>
    <pivotField showAll="0"/>
    <pivotField showAll="0"/>
    <pivotField numFmtId="4" showAll="0"/>
    <pivotField numFmtId="164" showAll="0"/>
    <pivotField showAll="0"/>
    <pivotField numFmtId="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Count of Order Priorit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90EF1-C44B-4361-B9EC-207BABE0BFD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7">
    <pivotField showAll="0"/>
    <pivotField showAll="0"/>
    <pivotField axis="axisRow" showAll="0">
      <items count="6">
        <item x="4"/>
        <item x="0"/>
        <item x="1"/>
        <item x="3"/>
        <item x="2"/>
        <item t="default"/>
      </items>
    </pivotField>
    <pivotField showAll="0"/>
    <pivotField showAll="0">
      <items count="3">
        <item x="1"/>
        <item x="0"/>
        <item t="default"/>
      </items>
    </pivotField>
    <pivotField showAll="0">
      <items count="4">
        <item x="0"/>
        <item x="1"/>
        <item x="2"/>
        <item t="default"/>
      </items>
    </pivotField>
    <pivotField numFmtId="22"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umFmtId="1" showAll="0"/>
    <pivotField numFmtId="2" showAll="0"/>
    <pivotField showAll="0"/>
    <pivotField dataField="1" showAll="0"/>
    <pivotField numFmtId="4" showAll="0"/>
    <pivotField numFmtId="164" showAll="0"/>
    <pivotField showAll="0"/>
    <pivotField numFmtId="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Total Revenue" fld="10" showDataAs="percentOfTotal" baseField="2" baseItem="0" numFmtId="10"/>
  </dataFields>
  <formats count="2">
    <format dxfId="45">
      <pivotArea outline="0" collapsedLevelsAreSubtotals="1" fieldPosition="0"/>
    </format>
    <format dxfId="44">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FAA45F-5416-47C9-9DA8-14F94D2C711E}"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B8" firstHeaderRow="1" firstDataRow="1" firstDataCol="1"/>
  <pivotFields count="17">
    <pivotField compact="0" outline="0" showAll="0"/>
    <pivotField compact="0" outline="0" showAll="0"/>
    <pivotField axis="axisRow" compact="0" outline="0" showAll="0">
      <items count="6">
        <item x="4"/>
        <item x="0"/>
        <item x="1"/>
        <item x="3"/>
        <item x="2"/>
        <item t="default"/>
      </items>
    </pivotField>
    <pivotField compact="0" outline="0" showAll="0"/>
    <pivotField compact="0" outline="0" showAll="0">
      <items count="3">
        <item x="1"/>
        <item x="0"/>
        <item t="default"/>
      </items>
    </pivotField>
    <pivotField compact="0" outline="0" showAll="0">
      <items count="4">
        <item x="0"/>
        <item x="1"/>
        <item x="2"/>
        <item t="default"/>
      </items>
    </pivotField>
    <pivotField compact="0" numFmtId="22" outline="0"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compact="0" numFmtId="1" outline="0" showAll="0"/>
    <pivotField compact="0" numFmtId="2" outline="0" showAll="0"/>
    <pivotField compact="0" outline="0" showAll="0"/>
    <pivotField compact="0" outline="0" showAll="0"/>
    <pivotField dataField="1" compact="0" numFmtId="4" outline="0" showAll="0"/>
    <pivotField compact="0" numFmtId="164" outline="0" showAll="0"/>
    <pivotField compact="0" outline="0" showAll="0"/>
    <pivotField compact="0" numFmtId="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11"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A4BFC3-A7D4-4C17-A51E-F2CC978A593D}"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B7" firstHeaderRow="1" firstDataRow="1" firstDataCol="1"/>
  <pivotFields count="17">
    <pivotField compact="0" outline="0" showAll="0"/>
    <pivotField axis="axisRow" compact="0" outline="0" showAll="0">
      <items count="5">
        <item x="0"/>
        <item x="2"/>
        <item x="3"/>
        <item x="1"/>
        <item t="default"/>
      </items>
    </pivotField>
    <pivotField compact="0" outline="0" showAll="0"/>
    <pivotField compact="0" outline="0" showAll="0"/>
    <pivotField compact="0" outline="0" showAll="0">
      <items count="3">
        <item x="1"/>
        <item x="0"/>
        <item t="default"/>
      </items>
    </pivotField>
    <pivotField compact="0" outline="0" showAll="0">
      <items count="4">
        <item x="0"/>
        <item x="1"/>
        <item x="2"/>
        <item t="default"/>
      </items>
    </pivotField>
    <pivotField compact="0" numFmtId="22" outline="0"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compact="0" numFmtId="1" outline="0" showAll="0"/>
    <pivotField compact="0" numFmtId="2" outline="0" showAll="0"/>
    <pivotField compact="0" outline="0" showAll="0"/>
    <pivotField compact="0" outline="0" showAll="0"/>
    <pivotField dataField="1" compact="0" numFmtId="4" outline="0" showAll="0"/>
    <pivotField compact="0" numFmtId="164" outline="0" showAll="0"/>
    <pivotField compact="0" outline="0" showAll="0"/>
    <pivotField compact="0" numFmtId="4"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11" baseField="0" baseItem="0" numFmtId="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B70F8977-CB30-4E2B-8A46-40E715E066B4}" sourceName="Sales Channel">
  <pivotTables>
    <pivotTable tabId="14" name="PivotTable4"/>
    <pivotTable tabId="13" name="PivotTable3"/>
    <pivotTable tabId="20" name="PivotTable1"/>
    <pivotTable tabId="16" name="PivotTable1"/>
    <pivotTable tabId="21" name="PivotTable1"/>
  </pivotTables>
  <data>
    <tabular pivotCacheId="78253318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1" xr10:uid="{9EFFA480-78E4-4BDB-BE8B-DBDB9AA95F72}" sourceName="Order Priority">
  <pivotTables>
    <pivotTable tabId="14" name="PivotTable4"/>
    <pivotTable tabId="13" name="PivotTable3"/>
    <pivotTable tabId="20" name="PivotTable1"/>
    <pivotTable tabId="16" name="PivotTable1"/>
    <pivotTable tabId="21" name="PivotTable1"/>
  </pivotTables>
  <data>
    <tabular pivotCacheId="78253318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0A058990-3CE7-4118-83C0-82176046E25E}" cache="Slicer_Sales_Channel1" caption="Sales Channel" columnCount="2" rowHeight="247650"/>
  <slicer name="Order Priority 1" xr10:uid="{5975F0BF-31AD-46E8-AE61-43184ED3AE90}" cache="Slicer_Order_Priority1" caption="Order Priority"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F434FD-2051-475C-803E-530151DFDF19}" name="Table1" displayName="Table1" ref="A1:J351" totalsRowShown="0" headerRowDxfId="91" dataDxfId="89" headerRowBorderDxfId="90" tableBorderDxfId="88" totalsRowBorderDxfId="87">
  <autoFilter ref="A1:J351" xr:uid="{3AF434FD-2051-475C-803E-530151DFDF19}"/>
  <tableColumns count="10">
    <tableColumn id="1" xr3:uid="{158D92C2-AD23-45CE-B354-B4F7B902C623}" name="Order ID" dataDxfId="86"/>
    <tableColumn id="2" xr3:uid="{1E869C01-C479-42A9-87CE-84C83868C18A}" name="Region" dataDxfId="85"/>
    <tableColumn id="3" xr3:uid="{8B0FDA8D-B1AF-4176-BDE0-324A73A67613}" name="Country" dataDxfId="84"/>
    <tableColumn id="4" xr3:uid="{0591DEF0-0182-4B39-936C-B46A344D96C3}" name="Category" dataDxfId="83"/>
    <tableColumn id="5" xr3:uid="{167B3701-D136-46D4-9B53-BB6170B259F2}" name="Sales Channel" dataDxfId="82"/>
    <tableColumn id="6" xr3:uid="{CC697000-1368-457A-82A9-9E20A93609BE}" name="Order Priority" dataDxfId="81"/>
    <tableColumn id="7" xr3:uid="{0662E481-5A21-415B-8FE2-6CE02E53EB1B}" name="Order Date" dataDxfId="80"/>
    <tableColumn id="8" xr3:uid="{13CC17D4-2196-4872-8A96-EE4C98DE5E96}" name="Units Sold" dataDxfId="79"/>
    <tableColumn id="9" xr3:uid="{32CB4552-B5C1-4CD1-99DA-84C8E83462CD}" name="Unit Price" dataDxfId="78"/>
    <tableColumn id="10" xr3:uid="{3DA77022-8130-43B5-9827-5F5F97773AE4}" name="Unit Cost" dataDxfId="7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930BA2-06C0-43E0-86ED-35FA0F506BAF}" name="Table3" displayName="Table3" ref="A1:B11" totalsRowShown="0">
  <autoFilter ref="A1:B11" xr:uid="{B0930BA2-06C0-43E0-86ED-35FA0F506BAF}"/>
  <tableColumns count="2">
    <tableColumn id="1" xr3:uid="{271F0036-EBDA-48B1-90AB-3053CBBBC12E}" name="Column Name"/>
    <tableColumn id="2" xr3:uid="{40AC6B15-16B6-46C3-9D64-229740A1079A}" name="Missing C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5ECF3D-1391-420D-9499-B26718F234C6}" name="Table16" displayName="Table16" ref="A1:O351" totalsRowShown="0" headerRowDxfId="76" dataDxfId="74" headerRowBorderDxfId="75" tableBorderDxfId="73" totalsRowBorderDxfId="72">
  <autoFilter ref="A1:O351" xr:uid="{885ECF3D-1391-420D-9499-B26718F234C6}"/>
  <tableColumns count="15">
    <tableColumn id="1" xr3:uid="{4A843408-CE4B-4FF7-AD95-4C178B2C7AE8}" name="Order ID" dataDxfId="71"/>
    <tableColumn id="2" xr3:uid="{3B41A7D2-0B0F-4BF2-A714-700A92CED927}" name="Region" dataDxfId="70"/>
    <tableColumn id="14" xr3:uid="{6EA9C7AE-A4C6-4622-A351-8CC5C6344A6E}" name="Region Filled" dataDxfId="69">
      <calculatedColumnFormula>IF(ISBLANK($B2), "West", $B2)</calculatedColumnFormula>
    </tableColumn>
    <tableColumn id="3" xr3:uid="{A5A3FA13-D8C3-459C-B284-8DFDE9E174C8}" name="Country" dataDxfId="68"/>
    <tableColumn id="4" xr3:uid="{43CE9738-7D6E-466C-8E4F-15021663536D}" name="Category" dataDxfId="67"/>
    <tableColumn id="17" xr3:uid="{E31EF15B-CF48-4DA5-AE4B-D35D7FCFF18C}" name="Catgory Filled" dataDxfId="66">
      <calculatedColumnFormula>IF(ISBLANK($E2), "Unknown", $E2)</calculatedColumnFormula>
    </tableColumn>
    <tableColumn id="5" xr3:uid="{A96FCE70-EFBC-4AA8-8272-B7ADF9A8D767}" name="Sales Channel" dataDxfId="65"/>
    <tableColumn id="6" xr3:uid="{FCB3153E-5C2C-42A7-B0EA-CAA36AE155F4}" name="Order Priority" dataDxfId="64"/>
    <tableColumn id="7" xr3:uid="{8A80F063-CAD9-4D58-A07F-CC589D212C87}" name="Order Date" dataDxfId="63"/>
    <tableColumn id="8" xr3:uid="{16FBDB53-E1AB-4BD8-AC05-B25F251354BE}" name="Units Sold" dataDxfId="62"/>
    <tableColumn id="18" xr3:uid="{C8D04947-A5F4-4780-BC32-C4F4BADA6BDF}" name="Unit sold Filled" dataDxfId="61">
      <calculatedColumnFormula array="1">IF(ISBLANK(Table16[[#This Row],[Units Sold]]),AVERAGE(_xlfn._xlws.FILTER(Table16[Units Sold],NOT(ISBLANK(Table16[Units Sold])))),Table16[[#This Row],[Units Sold]])</calculatedColumnFormula>
    </tableColumn>
    <tableColumn id="9" xr3:uid="{5B3E2B37-2EB5-484B-AFA6-E32607A7DE18}" name="Unit Price" dataDxfId="60"/>
    <tableColumn id="19" xr3:uid="{6D89BAF9-F1C6-4857-9338-6A0D44074D1D}" name="Unit Price Filled" dataDxfId="59">
      <calculatedColumnFormula array="1">IF(ISBLANK(Table16[[#This Row],[Unit Price]]),AVERAGE(_xlfn._xlws.FILTER(Table16[Unit Price],NOT(ISBLANK(Table16[Unit Price])))),Table16[[#This Row],[Unit Price]])</calculatedColumnFormula>
    </tableColumn>
    <tableColumn id="10" xr3:uid="{DA45D1CB-6CB2-4214-84DA-A0A4748FFB3D}" name="Unit Cost" dataDxfId="58"/>
    <tableColumn id="21" xr3:uid="{A7DC7970-580D-437F-B8FE-54B77CD376A2}" name="Total Revenue" dataDxfId="57">
      <calculatedColumnFormula>Table16[[#This Row],[Unit sold Filled]]*Table16[[#This Row],[Unit Price Filled]]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568BAE-B529-47E6-8085-B109943EB1DF}" name="Table4" displayName="Table4" ref="A1:B5" totalsRowShown="0">
  <autoFilter ref="A1:B5" xr:uid="{0F568BAE-B529-47E6-8085-B109943EB1DF}"/>
  <tableColumns count="2">
    <tableColumn id="1" xr3:uid="{AA45C403-8734-4DF7-93CA-22E280DBAAC5}" name="Region"/>
    <tableColumn id="2" xr3:uid="{6AFAF442-0D7B-48D9-ABE0-BD8EB7B853AC}" name="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D0327A3-4888-45A5-9E90-2B73D37B7B2E}" name="Table6" displayName="Table6" ref="A1:L351" totalsRowShown="0" headerRowDxfId="56">
  <autoFilter ref="A1:L351" xr:uid="{BD0327A3-4888-45A5-9E90-2B73D37B7B2E}"/>
  <tableColumns count="12">
    <tableColumn id="1" xr3:uid="{E8D86D3B-B9C8-4A05-BC37-49DB5F577CE3}" name="Order ID" dataDxfId="55"/>
    <tableColumn id="2" xr3:uid="{E6ED13D8-745B-43E0-AE00-E2755D21AC83}" name="Region Filled" dataDxfId="54"/>
    <tableColumn id="3" xr3:uid="{FA22463A-F9D2-4578-A5A0-4B0DC3B6403B}" name="Country" dataDxfId="53"/>
    <tableColumn id="4" xr3:uid="{14C92395-2B9E-4B17-BDFC-0B5D035B2BC7}" name="Catgory Filled"/>
    <tableColumn id="5" xr3:uid="{07EC9576-99F9-4023-8B52-3A2F6E43A9E9}" name="Sales Channel" dataDxfId="52"/>
    <tableColumn id="6" xr3:uid="{DF33D6FA-4CDB-4DD4-9248-0CEEE9E7B487}" name="Order Priority" dataDxfId="51"/>
    <tableColumn id="7" xr3:uid="{23A86477-AD9F-433B-AF16-F9C4AAA3632F}" name="Order Date" dataDxfId="50"/>
    <tableColumn id="8" xr3:uid="{F7EC2381-49E8-4541-A2B8-D7D2F4DBF11D}" name="Unit sold Filled" dataDxfId="49"/>
    <tableColumn id="9" xr3:uid="{9A0873A0-5C04-4E8E-8BE7-B9B238000A56}" name="Unit Price Filled" dataDxfId="48"/>
    <tableColumn id="10" xr3:uid="{CC5AE73D-D99B-4BE1-BC6A-FE18495E7F9F}" name="Unit Cost" dataDxfId="47"/>
    <tableColumn id="11" xr3:uid="{3B3D438E-096D-4B76-9409-67B0527063E3}" name="Total Revenue"/>
    <tableColumn id="12" xr3:uid="{1BB6F6BF-8D6E-4F7C-A037-27C5C948E556}" name="Profit" dataDxfId="46">
      <calculatedColumnFormula>(Table6[[#This Row],[Unit sold Filled]]*Table6[[#This Row],[Unit Price Filled]])-(Table6[[#This Row],[Unit sold Filled]]*Table6[[#This Row],[Unit Cost]])</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8706D2-B62A-4B2B-8502-FB7220DF9460}" name="Table63" displayName="Table63" ref="A1:O351" totalsRowShown="0" headerRowDxfId="43">
  <autoFilter ref="A1:O351" xr:uid="{6D8706D2-B62A-4B2B-8502-FB7220DF9460}"/>
  <tableColumns count="15">
    <tableColumn id="1" xr3:uid="{7D913AED-048C-422E-802F-B242813F0C82}" name="Order ID" dataDxfId="42"/>
    <tableColumn id="2" xr3:uid="{1D0CAE4C-ED3A-4F1F-BF02-3DADAC28124E}" name="Region Filled" dataDxfId="41"/>
    <tableColumn id="3" xr3:uid="{63E4B0E8-BE90-4330-9BFF-9D81F03BEDAD}" name="Country" dataDxfId="40"/>
    <tableColumn id="4" xr3:uid="{118B7C66-21C2-46A3-9910-077A77C859AF}" name="Catgory Filled"/>
    <tableColumn id="5" xr3:uid="{2ABD5724-F902-4676-AB70-BD73554954EC}" name="Sales Channel" dataDxfId="39"/>
    <tableColumn id="6" xr3:uid="{D9F58D83-A6E3-4ED0-9D91-18ADEF5E6125}" name="Order Priority" dataDxfId="38"/>
    <tableColumn id="7" xr3:uid="{03D42E88-7673-4757-9CD7-B1A0F7C469C2}" name="Order Date" dataDxfId="37"/>
    <tableColumn id="8" xr3:uid="{9394FD2C-EAE9-4EF9-9F60-CF790A1311B7}" name="Unit sold Filled" dataDxfId="36"/>
    <tableColumn id="9" xr3:uid="{706481B2-3533-4A90-9064-D4E31F6BC783}" name="Unit Price Filled" dataDxfId="35"/>
    <tableColumn id="10" xr3:uid="{7351B693-EF28-4B3D-AB9A-CB012C755BC8}" name="Unit Cost" dataDxfId="34"/>
    <tableColumn id="11" xr3:uid="{55211193-59B1-4A59-8C1B-D7AF7B164AEB}" name="Total Revenue"/>
    <tableColumn id="12" xr3:uid="{C3C4C093-D0F8-4BFB-9A93-E1BF0A26FC35}" name="Profit" dataDxfId="33">
      <calculatedColumnFormula>(Table63[[#This Row],[Unit sold Filled]]*Table63[[#This Row],[Unit Price Filled]])-(Table63[[#This Row],[Unit sold Filled]]*Table63[[#This Row],[Unit Cost]])</calculatedColumnFormula>
    </tableColumn>
    <tableColumn id="13" xr3:uid="{A525C754-9F28-4963-A90C-6C827BBF2A6A}" name="Profit Margin" dataDxfId="32">
      <calculatedColumnFormula>IF(Table63[[#This Row],[Total Revenue]]=0,0,Table63[[#This Row],[Profit]]/Table63[[#This Row],[Total Revenue]])</calculatedColumnFormula>
    </tableColumn>
    <tableColumn id="14" xr3:uid="{83DAE925-7566-4EE3-9223-BEE3D30EDF7F}" name="Order Year/Month" dataDxfId="31">
      <calculatedColumnFormula>YEAR(Table63[[#This Row],[Order Date]])&amp;"-"&amp;TEXT(Table63[[#This Row],[Order Date]],"mm")</calculatedColumnFormula>
    </tableColumn>
    <tableColumn id="15" xr3:uid="{4D74C3B5-EEFD-4937-8792-9B30A49068E9}" name="Sales per Unit" dataDxfId="30">
      <calculatedColumnFormula>IF(Table63[[#This Row],[Unit sold Filled]]=0,0,Table63[[#This Row],[Total Revenue]]/Table63[[#This Row],[Unit sold Filled]])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FCBA630-6EB3-4E7D-B413-3691D1D5EB0E}" name="Table7" displayName="Table7" ref="A1:B5" totalsRowShown="0">
  <autoFilter ref="A1:B5" xr:uid="{4FCBA630-6EB3-4E7D-B413-3691D1D5EB0E}"/>
  <tableColumns count="2">
    <tableColumn id="1" xr3:uid="{EEDFC91C-1D1D-40E8-B461-15ACA4B72C4E}" name="KPI"/>
    <tableColumn id="2" xr3:uid="{9BF8D0C7-66B8-4A47-A331-8E8A0EA8B04B}"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50F7-6C9F-46D7-B7EE-E0AD6101E7AD}">
  <dimension ref="A1:J351"/>
  <sheetViews>
    <sheetView workbookViewId="0">
      <selection activeCell="C17" sqref="C17"/>
    </sheetView>
  </sheetViews>
  <sheetFormatPr defaultRowHeight="14.4" x14ac:dyDescent="0.3"/>
  <cols>
    <col min="1" max="1" width="13.33203125" customWidth="1"/>
    <col min="2" max="2" width="12.109375" customWidth="1"/>
    <col min="3" max="3" width="11" customWidth="1"/>
    <col min="4" max="4" width="15.5546875" customWidth="1"/>
    <col min="5" max="5" width="16.44140625" customWidth="1"/>
    <col min="6" max="6" width="14.33203125" customWidth="1"/>
    <col min="7" max="7" width="20.5546875" customWidth="1"/>
    <col min="8" max="8" width="12.5546875" customWidth="1"/>
    <col min="9" max="9" width="12.33203125" customWidth="1"/>
    <col min="10" max="10" width="11.33203125" bestFit="1" customWidth="1"/>
  </cols>
  <sheetData>
    <row r="1" spans="1:10" ht="15" thickBot="1" x14ac:dyDescent="0.35">
      <c r="A1" s="4" t="s">
        <v>0</v>
      </c>
      <c r="B1" s="5" t="s">
        <v>1</v>
      </c>
      <c r="C1" s="5" t="s">
        <v>2</v>
      </c>
      <c r="D1" s="5" t="s">
        <v>3</v>
      </c>
      <c r="E1" s="5" t="s">
        <v>4</v>
      </c>
      <c r="F1" s="5" t="s">
        <v>5</v>
      </c>
      <c r="G1" s="5" t="s">
        <v>6</v>
      </c>
      <c r="H1" s="5" t="s">
        <v>7</v>
      </c>
      <c r="I1" s="5" t="s">
        <v>8</v>
      </c>
      <c r="J1" s="5" t="s">
        <v>9</v>
      </c>
    </row>
    <row r="2" spans="1:10" ht="15" thickBot="1" x14ac:dyDescent="0.35">
      <c r="A2" s="1" t="s">
        <v>10</v>
      </c>
      <c r="B2" s="1" t="s">
        <v>11</v>
      </c>
      <c r="C2" s="1" t="s">
        <v>12</v>
      </c>
      <c r="D2" s="1" t="s">
        <v>13</v>
      </c>
      <c r="E2" s="1" t="s">
        <v>14</v>
      </c>
      <c r="F2" s="1" t="s">
        <v>15</v>
      </c>
      <c r="G2" s="2">
        <v>44927</v>
      </c>
      <c r="H2" s="3">
        <v>235</v>
      </c>
      <c r="I2" s="3">
        <v>152.91999999999999</v>
      </c>
      <c r="J2" s="3">
        <v>153.6</v>
      </c>
    </row>
    <row r="3" spans="1:10" ht="15" thickBot="1" x14ac:dyDescent="0.35">
      <c r="A3" s="1" t="s">
        <v>16</v>
      </c>
      <c r="B3" s="1" t="s">
        <v>17</v>
      </c>
      <c r="C3" s="1" t="s">
        <v>18</v>
      </c>
      <c r="D3" s="1" t="s">
        <v>19</v>
      </c>
      <c r="E3" s="1" t="s">
        <v>14</v>
      </c>
      <c r="F3" s="1" t="s">
        <v>20</v>
      </c>
      <c r="G3" s="2">
        <v>44928</v>
      </c>
      <c r="H3" s="3">
        <v>341</v>
      </c>
      <c r="I3" s="3">
        <v>467.92</v>
      </c>
      <c r="J3" s="3">
        <v>139.84</v>
      </c>
    </row>
    <row r="4" spans="1:10" ht="15" thickBot="1" x14ac:dyDescent="0.35">
      <c r="A4" s="1" t="s">
        <v>21</v>
      </c>
      <c r="B4" s="1" t="s">
        <v>22</v>
      </c>
      <c r="C4" s="1" t="s">
        <v>18</v>
      </c>
      <c r="D4" s="1" t="s">
        <v>23</v>
      </c>
      <c r="E4" s="1" t="s">
        <v>24</v>
      </c>
      <c r="F4" s="1" t="s">
        <v>15</v>
      </c>
      <c r="G4" s="2">
        <v>44929</v>
      </c>
      <c r="H4" s="3">
        <v>179</v>
      </c>
      <c r="I4" s="3">
        <v>473.94</v>
      </c>
      <c r="J4" s="3">
        <v>97.14</v>
      </c>
    </row>
    <row r="5" spans="1:10" ht="15" thickBot="1" x14ac:dyDescent="0.35">
      <c r="A5" s="1" t="s">
        <v>25</v>
      </c>
      <c r="B5" s="1" t="s">
        <v>11</v>
      </c>
      <c r="C5" s="1" t="s">
        <v>26</v>
      </c>
      <c r="D5" s="1" t="s">
        <v>27</v>
      </c>
      <c r="E5" s="1" t="s">
        <v>24</v>
      </c>
      <c r="F5" s="1" t="s">
        <v>28</v>
      </c>
      <c r="G5" s="2">
        <v>44930</v>
      </c>
      <c r="H5" s="3">
        <v>18</v>
      </c>
      <c r="I5" s="3">
        <v>314.52999999999997</v>
      </c>
      <c r="J5" s="3">
        <v>204.87</v>
      </c>
    </row>
    <row r="6" spans="1:10" ht="15" thickBot="1" x14ac:dyDescent="0.35">
      <c r="A6" s="1" t="s">
        <v>29</v>
      </c>
      <c r="B6" s="1" t="s">
        <v>11</v>
      </c>
      <c r="C6" s="1" t="s">
        <v>18</v>
      </c>
      <c r="D6" s="1" t="s">
        <v>27</v>
      </c>
      <c r="E6" s="1" t="s">
        <v>24</v>
      </c>
      <c r="F6" s="1" t="s">
        <v>28</v>
      </c>
      <c r="G6" s="2">
        <v>44931</v>
      </c>
      <c r="H6" s="3">
        <v>472</v>
      </c>
      <c r="I6" s="3">
        <v>392.79</v>
      </c>
      <c r="J6" s="3">
        <v>330.46</v>
      </c>
    </row>
    <row r="7" spans="1:10" ht="15" thickBot="1" x14ac:dyDescent="0.35">
      <c r="A7" s="1" t="s">
        <v>30</v>
      </c>
      <c r="B7" s="1" t="s">
        <v>17</v>
      </c>
      <c r="C7" s="1" t="s">
        <v>31</v>
      </c>
      <c r="D7" s="1" t="s">
        <v>23</v>
      </c>
      <c r="E7" s="1" t="s">
        <v>14</v>
      </c>
      <c r="F7" s="1" t="s">
        <v>15</v>
      </c>
      <c r="G7" s="2">
        <v>44932</v>
      </c>
      <c r="H7" s="3">
        <v>49</v>
      </c>
      <c r="I7" s="3">
        <v>308.07</v>
      </c>
      <c r="J7" s="3">
        <v>113.32</v>
      </c>
    </row>
    <row r="8" spans="1:10" ht="15" thickBot="1" x14ac:dyDescent="0.35">
      <c r="A8" s="1" t="s">
        <v>32</v>
      </c>
      <c r="B8" s="1" t="s">
        <v>22</v>
      </c>
      <c r="C8" s="1" t="s">
        <v>12</v>
      </c>
      <c r="D8" s="1" t="s">
        <v>23</v>
      </c>
      <c r="E8" s="1" t="s">
        <v>14</v>
      </c>
      <c r="F8" s="1" t="s">
        <v>20</v>
      </c>
      <c r="G8" s="2">
        <v>44933</v>
      </c>
      <c r="H8" s="3">
        <v>34</v>
      </c>
      <c r="I8" s="3">
        <v>244.78</v>
      </c>
      <c r="J8" s="3">
        <v>377.07</v>
      </c>
    </row>
    <row r="9" spans="1:10" ht="15" thickBot="1" x14ac:dyDescent="0.35">
      <c r="A9" s="1" t="s">
        <v>33</v>
      </c>
      <c r="B9" s="1" t="s">
        <v>22</v>
      </c>
      <c r="C9" s="1" t="s">
        <v>18</v>
      </c>
      <c r="D9" s="1" t="s">
        <v>13</v>
      </c>
      <c r="E9" s="1" t="s">
        <v>14</v>
      </c>
      <c r="F9" s="1" t="s">
        <v>15</v>
      </c>
      <c r="G9" s="2">
        <v>44934</v>
      </c>
      <c r="H9" s="3">
        <v>270</v>
      </c>
      <c r="I9" s="3">
        <v>332.11</v>
      </c>
      <c r="J9" s="3">
        <v>349.59</v>
      </c>
    </row>
    <row r="10" spans="1:10" ht="15" thickBot="1" x14ac:dyDescent="0.35">
      <c r="A10" s="1" t="s">
        <v>34</v>
      </c>
      <c r="B10" s="1" t="s">
        <v>11</v>
      </c>
      <c r="C10" s="1" t="s">
        <v>18</v>
      </c>
      <c r="D10" s="1" t="s">
        <v>13</v>
      </c>
      <c r="E10" s="1" t="s">
        <v>14</v>
      </c>
      <c r="F10" s="1" t="s">
        <v>20</v>
      </c>
      <c r="G10" s="2">
        <v>44935</v>
      </c>
      <c r="H10" s="3">
        <v>404</v>
      </c>
      <c r="I10" s="3">
        <v>278.74</v>
      </c>
      <c r="J10" s="3">
        <v>66.38</v>
      </c>
    </row>
    <row r="11" spans="1:10" ht="15" thickBot="1" x14ac:dyDescent="0.35">
      <c r="A11" s="1" t="s">
        <v>35</v>
      </c>
      <c r="B11" s="1"/>
      <c r="C11" s="1" t="s">
        <v>26</v>
      </c>
      <c r="D11" s="1" t="s">
        <v>27</v>
      </c>
      <c r="E11" s="1" t="s">
        <v>14</v>
      </c>
      <c r="F11" s="1" t="s">
        <v>28</v>
      </c>
      <c r="G11" s="2">
        <v>44936</v>
      </c>
      <c r="H11" s="3">
        <v>452</v>
      </c>
      <c r="I11" s="3">
        <v>300.75</v>
      </c>
      <c r="J11" s="3">
        <v>314.94</v>
      </c>
    </row>
    <row r="12" spans="1:10" ht="15" thickBot="1" x14ac:dyDescent="0.35">
      <c r="A12" s="1" t="s">
        <v>36</v>
      </c>
      <c r="B12" s="1" t="s">
        <v>11</v>
      </c>
      <c r="C12" s="1" t="s">
        <v>26</v>
      </c>
      <c r="D12" s="1" t="s">
        <v>19</v>
      </c>
      <c r="E12" s="1" t="s">
        <v>14</v>
      </c>
      <c r="F12" s="1" t="s">
        <v>20</v>
      </c>
      <c r="G12" s="2">
        <v>44937</v>
      </c>
      <c r="H12" s="3">
        <v>235</v>
      </c>
      <c r="I12" s="3">
        <v>393</v>
      </c>
      <c r="J12" s="3">
        <v>230.69</v>
      </c>
    </row>
    <row r="13" spans="1:10" ht="15" thickBot="1" x14ac:dyDescent="0.35">
      <c r="A13" s="1" t="s">
        <v>37</v>
      </c>
      <c r="B13" s="1" t="s">
        <v>11</v>
      </c>
      <c r="C13" s="1" t="s">
        <v>31</v>
      </c>
      <c r="D13" s="1" t="s">
        <v>27</v>
      </c>
      <c r="E13" s="1" t="s">
        <v>24</v>
      </c>
      <c r="F13" s="1" t="s">
        <v>28</v>
      </c>
      <c r="G13" s="2">
        <v>44938</v>
      </c>
      <c r="H13" s="3">
        <v>481</v>
      </c>
      <c r="I13" s="3">
        <v>243.05</v>
      </c>
      <c r="J13" s="3">
        <v>227.5</v>
      </c>
    </row>
    <row r="14" spans="1:10" ht="15" thickBot="1" x14ac:dyDescent="0.35">
      <c r="A14" s="1" t="s">
        <v>38</v>
      </c>
      <c r="B14" s="1" t="s">
        <v>11</v>
      </c>
      <c r="C14" s="1" t="s">
        <v>12</v>
      </c>
      <c r="D14" s="1" t="s">
        <v>19</v>
      </c>
      <c r="E14" s="1" t="s">
        <v>24</v>
      </c>
      <c r="F14" s="1" t="s">
        <v>20</v>
      </c>
      <c r="G14" s="2">
        <v>44939</v>
      </c>
      <c r="H14" s="3">
        <v>133</v>
      </c>
      <c r="I14" s="3">
        <v>25.17</v>
      </c>
      <c r="J14" s="3">
        <v>157.63999999999999</v>
      </c>
    </row>
    <row r="15" spans="1:10" ht="15" thickBot="1" x14ac:dyDescent="0.35">
      <c r="A15" s="1" t="s">
        <v>39</v>
      </c>
      <c r="B15" s="1" t="s">
        <v>11</v>
      </c>
      <c r="C15" s="1" t="s">
        <v>26</v>
      </c>
      <c r="D15" s="1" t="s">
        <v>19</v>
      </c>
      <c r="E15" s="1" t="s">
        <v>24</v>
      </c>
      <c r="F15" s="1" t="s">
        <v>20</v>
      </c>
      <c r="G15" s="2">
        <v>44940</v>
      </c>
      <c r="H15" s="3">
        <v>472</v>
      </c>
      <c r="I15" s="3">
        <v>86.18</v>
      </c>
      <c r="J15" s="3">
        <v>201.46</v>
      </c>
    </row>
    <row r="16" spans="1:10" ht="15" thickBot="1" x14ac:dyDescent="0.35">
      <c r="A16" s="1" t="s">
        <v>40</v>
      </c>
      <c r="B16" s="1" t="s">
        <v>17</v>
      </c>
      <c r="C16" s="1" t="s">
        <v>18</v>
      </c>
      <c r="D16" s="1" t="s">
        <v>13</v>
      </c>
      <c r="E16" s="1" t="s">
        <v>24</v>
      </c>
      <c r="F16" s="1" t="s">
        <v>20</v>
      </c>
      <c r="G16" s="2">
        <v>44941</v>
      </c>
      <c r="H16" s="3">
        <v>47</v>
      </c>
      <c r="I16" s="3">
        <v>222.11</v>
      </c>
      <c r="J16" s="3">
        <v>160.08000000000001</v>
      </c>
    </row>
    <row r="17" spans="1:10" ht="15" thickBot="1" x14ac:dyDescent="0.35">
      <c r="A17" s="1" t="s">
        <v>41</v>
      </c>
      <c r="B17" s="1" t="s">
        <v>22</v>
      </c>
      <c r="C17" s="1" t="s">
        <v>12</v>
      </c>
      <c r="D17" s="1" t="s">
        <v>42</v>
      </c>
      <c r="E17" s="1" t="s">
        <v>14</v>
      </c>
      <c r="F17" s="1" t="s">
        <v>15</v>
      </c>
      <c r="G17" s="2">
        <v>44942</v>
      </c>
      <c r="H17" s="3">
        <v>337</v>
      </c>
      <c r="I17" s="3">
        <v>363.79</v>
      </c>
      <c r="J17" s="3">
        <v>216.81</v>
      </c>
    </row>
    <row r="18" spans="1:10" ht="15" thickBot="1" x14ac:dyDescent="0.35">
      <c r="A18" s="1" t="s">
        <v>43</v>
      </c>
      <c r="B18" s="1" t="s">
        <v>17</v>
      </c>
      <c r="C18" s="1" t="s">
        <v>12</v>
      </c>
      <c r="D18" s="1" t="s">
        <v>42</v>
      </c>
      <c r="E18" s="1" t="s">
        <v>14</v>
      </c>
      <c r="F18" s="1" t="s">
        <v>15</v>
      </c>
      <c r="G18" s="2">
        <v>44943</v>
      </c>
      <c r="H18" s="3">
        <v>260</v>
      </c>
      <c r="I18" s="3">
        <v>298.67</v>
      </c>
      <c r="J18" s="3">
        <v>251.92</v>
      </c>
    </row>
    <row r="19" spans="1:10" ht="15" thickBot="1" x14ac:dyDescent="0.35">
      <c r="A19" s="1" t="s">
        <v>44</v>
      </c>
      <c r="B19" s="1"/>
      <c r="C19" s="1" t="s">
        <v>18</v>
      </c>
      <c r="D19" s="1" t="s">
        <v>23</v>
      </c>
      <c r="E19" s="1" t="s">
        <v>24</v>
      </c>
      <c r="F19" s="1" t="s">
        <v>28</v>
      </c>
      <c r="G19" s="2">
        <v>44944</v>
      </c>
      <c r="H19" s="3">
        <v>398</v>
      </c>
      <c r="I19" s="3">
        <v>326.89999999999998</v>
      </c>
      <c r="J19" s="3">
        <v>270.37</v>
      </c>
    </row>
    <row r="20" spans="1:10" ht="15" thickBot="1" x14ac:dyDescent="0.35">
      <c r="A20" s="1" t="s">
        <v>45</v>
      </c>
      <c r="B20" s="1" t="s">
        <v>17</v>
      </c>
      <c r="C20" s="1" t="s">
        <v>26</v>
      </c>
      <c r="D20" s="1" t="s">
        <v>13</v>
      </c>
      <c r="E20" s="1" t="s">
        <v>14</v>
      </c>
      <c r="F20" s="1" t="s">
        <v>28</v>
      </c>
      <c r="G20" s="2">
        <v>44945</v>
      </c>
      <c r="H20" s="3">
        <v>185</v>
      </c>
      <c r="I20" s="3">
        <v>242.24</v>
      </c>
      <c r="J20" s="3">
        <v>213.93</v>
      </c>
    </row>
    <row r="21" spans="1:10" ht="15" thickBot="1" x14ac:dyDescent="0.35">
      <c r="A21" s="1" t="s">
        <v>46</v>
      </c>
      <c r="B21" s="1" t="s">
        <v>11</v>
      </c>
      <c r="C21" s="1" t="s">
        <v>18</v>
      </c>
      <c r="D21" s="1" t="s">
        <v>19</v>
      </c>
      <c r="E21" s="1" t="s">
        <v>24</v>
      </c>
      <c r="F21" s="1" t="s">
        <v>15</v>
      </c>
      <c r="G21" s="2">
        <v>44946</v>
      </c>
      <c r="H21" s="3">
        <v>99</v>
      </c>
      <c r="I21" s="3">
        <v>309.79000000000002</v>
      </c>
      <c r="J21" s="3">
        <v>289.13</v>
      </c>
    </row>
    <row r="22" spans="1:10" ht="15" thickBot="1" x14ac:dyDescent="0.35">
      <c r="A22" s="1" t="s">
        <v>47</v>
      </c>
      <c r="B22" s="1" t="s">
        <v>48</v>
      </c>
      <c r="C22" s="1" t="s">
        <v>12</v>
      </c>
      <c r="D22" s="1" t="s">
        <v>42</v>
      </c>
      <c r="E22" s="1" t="s">
        <v>24</v>
      </c>
      <c r="F22" s="1" t="s">
        <v>28</v>
      </c>
      <c r="G22" s="2">
        <v>44947</v>
      </c>
      <c r="H22" s="3">
        <v>411</v>
      </c>
      <c r="I22" s="3">
        <v>167.86</v>
      </c>
      <c r="J22" s="3">
        <v>58.23</v>
      </c>
    </row>
    <row r="23" spans="1:10" ht="15" thickBot="1" x14ac:dyDescent="0.35">
      <c r="A23" s="1" t="s">
        <v>49</v>
      </c>
      <c r="B23" s="1" t="s">
        <v>22</v>
      </c>
      <c r="C23" s="1" t="s">
        <v>50</v>
      </c>
      <c r="D23" s="1" t="s">
        <v>19</v>
      </c>
      <c r="E23" s="1" t="s">
        <v>24</v>
      </c>
      <c r="F23" s="1" t="s">
        <v>15</v>
      </c>
      <c r="G23" s="2">
        <v>44948</v>
      </c>
      <c r="H23" s="3">
        <v>463</v>
      </c>
      <c r="I23" s="3">
        <v>237.74</v>
      </c>
      <c r="J23" s="3">
        <v>86.37</v>
      </c>
    </row>
    <row r="24" spans="1:10" ht="15" thickBot="1" x14ac:dyDescent="0.35">
      <c r="A24" s="1" t="s">
        <v>51</v>
      </c>
      <c r="B24" s="1" t="s">
        <v>48</v>
      </c>
      <c r="C24" s="1" t="s">
        <v>50</v>
      </c>
      <c r="D24" s="1" t="s">
        <v>42</v>
      </c>
      <c r="E24" s="1" t="s">
        <v>14</v>
      </c>
      <c r="F24" s="1" t="s">
        <v>20</v>
      </c>
      <c r="G24" s="2">
        <v>44949</v>
      </c>
      <c r="H24" s="3">
        <v>46</v>
      </c>
      <c r="I24" s="3">
        <v>373.42</v>
      </c>
      <c r="J24" s="3">
        <v>327.86</v>
      </c>
    </row>
    <row r="25" spans="1:10" ht="15" thickBot="1" x14ac:dyDescent="0.35">
      <c r="A25" s="1" t="s">
        <v>52</v>
      </c>
      <c r="B25" s="1" t="s">
        <v>17</v>
      </c>
      <c r="C25" s="1" t="s">
        <v>31</v>
      </c>
      <c r="D25" s="1" t="s">
        <v>42</v>
      </c>
      <c r="E25" s="1" t="s">
        <v>24</v>
      </c>
      <c r="F25" s="1" t="s">
        <v>28</v>
      </c>
      <c r="G25" s="2">
        <v>44950</v>
      </c>
      <c r="H25" s="3">
        <v>325</v>
      </c>
      <c r="I25" s="3">
        <v>436.56</v>
      </c>
      <c r="J25" s="3">
        <v>130.37</v>
      </c>
    </row>
    <row r="26" spans="1:10" ht="15" thickBot="1" x14ac:dyDescent="0.35">
      <c r="A26" s="1" t="s">
        <v>53</v>
      </c>
      <c r="B26" s="1" t="s">
        <v>17</v>
      </c>
      <c r="C26" s="1" t="s">
        <v>18</v>
      </c>
      <c r="D26" s="1"/>
      <c r="E26" s="1" t="s">
        <v>24</v>
      </c>
      <c r="F26" s="1" t="s">
        <v>28</v>
      </c>
      <c r="G26" s="2">
        <v>44951</v>
      </c>
      <c r="H26" s="3">
        <v>185</v>
      </c>
      <c r="I26" s="3">
        <v>219.66</v>
      </c>
      <c r="J26" s="3">
        <v>11.11</v>
      </c>
    </row>
    <row r="27" spans="1:10" ht="15" thickBot="1" x14ac:dyDescent="0.35">
      <c r="A27" s="1" t="s">
        <v>54</v>
      </c>
      <c r="B27" s="1" t="s">
        <v>48</v>
      </c>
      <c r="C27" s="1" t="s">
        <v>18</v>
      </c>
      <c r="D27" s="1" t="s">
        <v>13</v>
      </c>
      <c r="E27" s="1" t="s">
        <v>24</v>
      </c>
      <c r="F27" s="1" t="s">
        <v>15</v>
      </c>
      <c r="G27" s="2">
        <v>44952</v>
      </c>
      <c r="H27" s="3">
        <v>470</v>
      </c>
      <c r="I27" s="3">
        <v>26.61</v>
      </c>
      <c r="J27" s="3">
        <v>63.21</v>
      </c>
    </row>
    <row r="28" spans="1:10" ht="15" thickBot="1" x14ac:dyDescent="0.35">
      <c r="A28" s="1" t="s">
        <v>55</v>
      </c>
      <c r="B28" s="1" t="s">
        <v>48</v>
      </c>
      <c r="C28" s="1" t="s">
        <v>31</v>
      </c>
      <c r="D28" s="1" t="s">
        <v>27</v>
      </c>
      <c r="E28" s="1" t="s">
        <v>14</v>
      </c>
      <c r="F28" s="1" t="s">
        <v>28</v>
      </c>
      <c r="G28" s="2">
        <v>44953</v>
      </c>
      <c r="H28" s="3">
        <v>293</v>
      </c>
      <c r="I28" s="3">
        <v>85.03</v>
      </c>
      <c r="J28" s="3">
        <v>91</v>
      </c>
    </row>
    <row r="29" spans="1:10" ht="15" thickBot="1" x14ac:dyDescent="0.35">
      <c r="A29" s="1" t="s">
        <v>56</v>
      </c>
      <c r="B29" s="1" t="s">
        <v>48</v>
      </c>
      <c r="C29" s="1" t="s">
        <v>31</v>
      </c>
      <c r="D29" s="1" t="s">
        <v>19</v>
      </c>
      <c r="E29" s="1" t="s">
        <v>14</v>
      </c>
      <c r="F29" s="1" t="s">
        <v>28</v>
      </c>
      <c r="G29" s="2">
        <v>44954</v>
      </c>
      <c r="H29" s="3">
        <v>462</v>
      </c>
      <c r="I29" s="1"/>
      <c r="J29" s="3">
        <v>383.01</v>
      </c>
    </row>
    <row r="30" spans="1:10" ht="15" thickBot="1" x14ac:dyDescent="0.35">
      <c r="A30" s="1" t="s">
        <v>57</v>
      </c>
      <c r="B30" s="1" t="s">
        <v>17</v>
      </c>
      <c r="C30" s="1" t="s">
        <v>31</v>
      </c>
      <c r="D30" s="1" t="s">
        <v>13</v>
      </c>
      <c r="E30" s="1" t="s">
        <v>24</v>
      </c>
      <c r="F30" s="1" t="s">
        <v>20</v>
      </c>
      <c r="G30" s="2">
        <v>44955</v>
      </c>
      <c r="H30" s="3">
        <v>470</v>
      </c>
      <c r="I30" s="3">
        <v>328.37</v>
      </c>
      <c r="J30" s="3">
        <v>230.07</v>
      </c>
    </row>
    <row r="31" spans="1:10" ht="15" thickBot="1" x14ac:dyDescent="0.35">
      <c r="A31" s="1" t="s">
        <v>58</v>
      </c>
      <c r="B31" s="1" t="s">
        <v>17</v>
      </c>
      <c r="C31" s="1" t="s">
        <v>12</v>
      </c>
      <c r="D31" s="1" t="s">
        <v>13</v>
      </c>
      <c r="E31" s="1" t="s">
        <v>14</v>
      </c>
      <c r="F31" s="1" t="s">
        <v>28</v>
      </c>
      <c r="G31" s="2">
        <v>44956</v>
      </c>
      <c r="H31" s="3">
        <v>90</v>
      </c>
      <c r="I31" s="3">
        <v>169.5</v>
      </c>
      <c r="J31" s="3">
        <v>373.23</v>
      </c>
    </row>
    <row r="32" spans="1:10" ht="15" thickBot="1" x14ac:dyDescent="0.35">
      <c r="A32" s="1" t="s">
        <v>59</v>
      </c>
      <c r="B32" s="1"/>
      <c r="C32" s="1" t="s">
        <v>18</v>
      </c>
      <c r="D32" s="1" t="s">
        <v>13</v>
      </c>
      <c r="E32" s="1" t="s">
        <v>14</v>
      </c>
      <c r="F32" s="1" t="s">
        <v>20</v>
      </c>
      <c r="G32" s="2">
        <v>44957</v>
      </c>
      <c r="H32" s="3">
        <v>123</v>
      </c>
      <c r="I32" s="3">
        <v>273.52999999999997</v>
      </c>
      <c r="J32" s="3">
        <v>230.92</v>
      </c>
    </row>
    <row r="33" spans="1:10" ht="15" thickBot="1" x14ac:dyDescent="0.35">
      <c r="A33" s="1" t="s">
        <v>60</v>
      </c>
      <c r="B33" s="1" t="s">
        <v>22</v>
      </c>
      <c r="C33" s="1" t="s">
        <v>12</v>
      </c>
      <c r="D33" s="1" t="s">
        <v>13</v>
      </c>
      <c r="E33" s="1" t="s">
        <v>14</v>
      </c>
      <c r="F33" s="1" t="s">
        <v>15</v>
      </c>
      <c r="G33" s="2">
        <v>44958</v>
      </c>
      <c r="H33" s="3">
        <v>49</v>
      </c>
      <c r="I33" s="3">
        <v>249.17</v>
      </c>
      <c r="J33" s="3">
        <v>192.78</v>
      </c>
    </row>
    <row r="34" spans="1:10" ht="15" thickBot="1" x14ac:dyDescent="0.35">
      <c r="A34" s="1" t="s">
        <v>61</v>
      </c>
      <c r="B34" s="1" t="s">
        <v>17</v>
      </c>
      <c r="C34" s="1" t="s">
        <v>31</v>
      </c>
      <c r="D34" s="1" t="s">
        <v>13</v>
      </c>
      <c r="E34" s="1" t="s">
        <v>14</v>
      </c>
      <c r="F34" s="1" t="s">
        <v>28</v>
      </c>
      <c r="G34" s="2">
        <v>44959</v>
      </c>
      <c r="H34" s="3">
        <v>310</v>
      </c>
      <c r="I34" s="3">
        <v>45.36</v>
      </c>
      <c r="J34" s="3">
        <v>126.86</v>
      </c>
    </row>
    <row r="35" spans="1:10" ht="15" thickBot="1" x14ac:dyDescent="0.35">
      <c r="A35" s="1" t="s">
        <v>62</v>
      </c>
      <c r="B35" s="1" t="s">
        <v>48</v>
      </c>
      <c r="C35" s="1" t="s">
        <v>18</v>
      </c>
      <c r="D35" s="1" t="s">
        <v>23</v>
      </c>
      <c r="E35" s="1" t="s">
        <v>14</v>
      </c>
      <c r="F35" s="1" t="s">
        <v>20</v>
      </c>
      <c r="G35" s="2">
        <v>44960</v>
      </c>
      <c r="H35" s="3">
        <v>233</v>
      </c>
      <c r="I35" s="3">
        <v>204.61</v>
      </c>
      <c r="J35" s="3">
        <v>243.34</v>
      </c>
    </row>
    <row r="36" spans="1:10" ht="15" thickBot="1" x14ac:dyDescent="0.35">
      <c r="A36" s="1" t="s">
        <v>63</v>
      </c>
      <c r="B36" s="1" t="s">
        <v>48</v>
      </c>
      <c r="C36" s="1" t="s">
        <v>12</v>
      </c>
      <c r="D36" s="1" t="s">
        <v>19</v>
      </c>
      <c r="E36" s="1" t="s">
        <v>14</v>
      </c>
      <c r="F36" s="1" t="s">
        <v>15</v>
      </c>
      <c r="G36" s="2">
        <v>44961</v>
      </c>
      <c r="H36" s="3">
        <v>327</v>
      </c>
      <c r="I36" s="3">
        <v>114.18</v>
      </c>
      <c r="J36" s="3">
        <v>57.4</v>
      </c>
    </row>
    <row r="37" spans="1:10" ht="15" thickBot="1" x14ac:dyDescent="0.35">
      <c r="A37" s="1" t="s">
        <v>64</v>
      </c>
      <c r="B37" s="1" t="s">
        <v>22</v>
      </c>
      <c r="C37" s="1" t="s">
        <v>12</v>
      </c>
      <c r="D37" s="1" t="s">
        <v>13</v>
      </c>
      <c r="E37" s="1" t="s">
        <v>14</v>
      </c>
      <c r="F37" s="1" t="s">
        <v>28</v>
      </c>
      <c r="G37" s="2">
        <v>44962</v>
      </c>
      <c r="H37" s="3">
        <v>358</v>
      </c>
      <c r="I37" s="3">
        <v>212.11</v>
      </c>
      <c r="J37" s="3">
        <v>359.51</v>
      </c>
    </row>
    <row r="38" spans="1:10" ht="15" thickBot="1" x14ac:dyDescent="0.35">
      <c r="A38" s="1" t="s">
        <v>65</v>
      </c>
      <c r="B38" s="1" t="s">
        <v>17</v>
      </c>
      <c r="C38" s="1" t="s">
        <v>31</v>
      </c>
      <c r="D38" s="1" t="s">
        <v>19</v>
      </c>
      <c r="E38" s="1" t="s">
        <v>14</v>
      </c>
      <c r="F38" s="1" t="s">
        <v>15</v>
      </c>
      <c r="G38" s="2">
        <v>44963</v>
      </c>
      <c r="H38" s="3">
        <v>124</v>
      </c>
      <c r="I38" s="1"/>
      <c r="J38" s="3">
        <v>332.07</v>
      </c>
    </row>
    <row r="39" spans="1:10" ht="15" thickBot="1" x14ac:dyDescent="0.35">
      <c r="A39" s="1" t="s">
        <v>66</v>
      </c>
      <c r="B39" s="1" t="s">
        <v>22</v>
      </c>
      <c r="C39" s="1" t="s">
        <v>18</v>
      </c>
      <c r="D39" s="1" t="s">
        <v>23</v>
      </c>
      <c r="E39" s="1" t="s">
        <v>14</v>
      </c>
      <c r="F39" s="1" t="s">
        <v>28</v>
      </c>
      <c r="G39" s="2">
        <v>44964</v>
      </c>
      <c r="H39" s="3">
        <v>195</v>
      </c>
      <c r="I39" s="3">
        <v>421.02</v>
      </c>
      <c r="J39" s="3">
        <v>128.38</v>
      </c>
    </row>
    <row r="40" spans="1:10" ht="15" thickBot="1" x14ac:dyDescent="0.35">
      <c r="A40" s="1" t="s">
        <v>67</v>
      </c>
      <c r="B40" s="1" t="s">
        <v>22</v>
      </c>
      <c r="C40" s="1" t="s">
        <v>31</v>
      </c>
      <c r="D40" s="1" t="s">
        <v>23</v>
      </c>
      <c r="E40" s="1" t="s">
        <v>14</v>
      </c>
      <c r="F40" s="1" t="s">
        <v>15</v>
      </c>
      <c r="G40" s="2">
        <v>44965</v>
      </c>
      <c r="H40" s="1"/>
      <c r="I40" s="3">
        <v>91.23</v>
      </c>
      <c r="J40" s="3">
        <v>381.21</v>
      </c>
    </row>
    <row r="41" spans="1:10" ht="15" thickBot="1" x14ac:dyDescent="0.35">
      <c r="A41" s="1" t="s">
        <v>68</v>
      </c>
      <c r="B41" s="1" t="s">
        <v>11</v>
      </c>
      <c r="C41" s="1" t="s">
        <v>18</v>
      </c>
      <c r="D41" s="1" t="s">
        <v>19</v>
      </c>
      <c r="E41" s="1" t="s">
        <v>24</v>
      </c>
      <c r="F41" s="1" t="s">
        <v>15</v>
      </c>
      <c r="G41" s="2">
        <v>44966</v>
      </c>
      <c r="H41" s="3">
        <v>65</v>
      </c>
      <c r="I41" s="3">
        <v>480.59</v>
      </c>
      <c r="J41" s="3">
        <v>330.43</v>
      </c>
    </row>
    <row r="42" spans="1:10" ht="15" thickBot="1" x14ac:dyDescent="0.35">
      <c r="A42" s="1" t="s">
        <v>69</v>
      </c>
      <c r="B42" s="1" t="s">
        <v>11</v>
      </c>
      <c r="C42" s="1" t="s">
        <v>50</v>
      </c>
      <c r="D42" s="1" t="s">
        <v>42</v>
      </c>
      <c r="E42" s="1" t="s">
        <v>24</v>
      </c>
      <c r="F42" s="1" t="s">
        <v>20</v>
      </c>
      <c r="G42" s="2">
        <v>44967</v>
      </c>
      <c r="H42" s="3">
        <v>49</v>
      </c>
      <c r="I42" s="3">
        <v>210.87</v>
      </c>
      <c r="J42" s="3">
        <v>267.19</v>
      </c>
    </row>
    <row r="43" spans="1:10" ht="15" thickBot="1" x14ac:dyDescent="0.35">
      <c r="A43" s="1" t="s">
        <v>70</v>
      </c>
      <c r="B43" s="1" t="s">
        <v>11</v>
      </c>
      <c r="C43" s="1" t="s">
        <v>26</v>
      </c>
      <c r="D43" s="1" t="s">
        <v>27</v>
      </c>
      <c r="E43" s="1" t="s">
        <v>14</v>
      </c>
      <c r="F43" s="1" t="s">
        <v>15</v>
      </c>
      <c r="G43" s="2">
        <v>44968</v>
      </c>
      <c r="H43" s="3">
        <v>363</v>
      </c>
      <c r="I43" s="3">
        <v>423.89</v>
      </c>
      <c r="J43" s="3">
        <v>50.46</v>
      </c>
    </row>
    <row r="44" spans="1:10" ht="15" thickBot="1" x14ac:dyDescent="0.35">
      <c r="A44" s="1" t="s">
        <v>71</v>
      </c>
      <c r="B44" s="1" t="s">
        <v>48</v>
      </c>
      <c r="C44" s="1" t="s">
        <v>26</v>
      </c>
      <c r="D44" s="1" t="s">
        <v>42</v>
      </c>
      <c r="E44" s="1" t="s">
        <v>24</v>
      </c>
      <c r="F44" s="1" t="s">
        <v>28</v>
      </c>
      <c r="G44" s="2">
        <v>44969</v>
      </c>
      <c r="H44" s="3">
        <v>49</v>
      </c>
      <c r="I44" s="3">
        <v>316.24</v>
      </c>
      <c r="J44" s="3">
        <v>192.34</v>
      </c>
    </row>
    <row r="45" spans="1:10" ht="15" thickBot="1" x14ac:dyDescent="0.35">
      <c r="A45" s="1" t="s">
        <v>72</v>
      </c>
      <c r="B45" s="1" t="s">
        <v>17</v>
      </c>
      <c r="C45" s="1" t="s">
        <v>26</v>
      </c>
      <c r="D45" s="1" t="s">
        <v>42</v>
      </c>
      <c r="E45" s="1" t="s">
        <v>24</v>
      </c>
      <c r="F45" s="1" t="s">
        <v>28</v>
      </c>
      <c r="G45" s="2">
        <v>44970</v>
      </c>
      <c r="H45" s="3">
        <v>356</v>
      </c>
      <c r="I45" s="3">
        <v>369</v>
      </c>
      <c r="J45" s="3">
        <v>203.43</v>
      </c>
    </row>
    <row r="46" spans="1:10" ht="15" thickBot="1" x14ac:dyDescent="0.35">
      <c r="A46" s="1" t="s">
        <v>73</v>
      </c>
      <c r="B46" s="1" t="s">
        <v>17</v>
      </c>
      <c r="C46" s="1" t="s">
        <v>31</v>
      </c>
      <c r="D46" s="1" t="s">
        <v>42</v>
      </c>
      <c r="E46" s="1" t="s">
        <v>14</v>
      </c>
      <c r="F46" s="1" t="s">
        <v>20</v>
      </c>
      <c r="G46" s="2">
        <v>44971</v>
      </c>
      <c r="H46" s="3">
        <v>470</v>
      </c>
      <c r="I46" s="1"/>
      <c r="J46" s="3">
        <v>94.56</v>
      </c>
    </row>
    <row r="47" spans="1:10" ht="15" thickBot="1" x14ac:dyDescent="0.35">
      <c r="A47" s="1" t="s">
        <v>74</v>
      </c>
      <c r="B47" s="1" t="s">
        <v>17</v>
      </c>
      <c r="C47" s="1" t="s">
        <v>50</v>
      </c>
      <c r="D47" s="1" t="s">
        <v>13</v>
      </c>
      <c r="E47" s="1" t="s">
        <v>14</v>
      </c>
      <c r="F47" s="1" t="s">
        <v>28</v>
      </c>
      <c r="G47" s="2">
        <v>44972</v>
      </c>
      <c r="H47" s="3">
        <v>246</v>
      </c>
      <c r="I47" s="3">
        <v>254.9</v>
      </c>
      <c r="J47" s="3">
        <v>33.83</v>
      </c>
    </row>
    <row r="48" spans="1:10" ht="15" thickBot="1" x14ac:dyDescent="0.35">
      <c r="A48" s="1" t="s">
        <v>75</v>
      </c>
      <c r="B48" s="1" t="s">
        <v>17</v>
      </c>
      <c r="C48" s="1" t="s">
        <v>18</v>
      </c>
      <c r="D48" s="1" t="s">
        <v>23</v>
      </c>
      <c r="E48" s="1" t="s">
        <v>14</v>
      </c>
      <c r="F48" s="1" t="s">
        <v>28</v>
      </c>
      <c r="G48" s="2">
        <v>44973</v>
      </c>
      <c r="H48" s="3">
        <v>298</v>
      </c>
      <c r="I48" s="3">
        <v>273.93</v>
      </c>
      <c r="J48" s="3">
        <v>311.14</v>
      </c>
    </row>
    <row r="49" spans="1:10" ht="15" thickBot="1" x14ac:dyDescent="0.35">
      <c r="A49" s="1" t="s">
        <v>76</v>
      </c>
      <c r="B49" s="1" t="s">
        <v>11</v>
      </c>
      <c r="C49" s="1" t="s">
        <v>12</v>
      </c>
      <c r="D49" s="1" t="s">
        <v>42</v>
      </c>
      <c r="E49" s="1" t="s">
        <v>24</v>
      </c>
      <c r="F49" s="1" t="s">
        <v>28</v>
      </c>
      <c r="G49" s="2">
        <v>44974</v>
      </c>
      <c r="H49" s="3">
        <v>271</v>
      </c>
      <c r="I49" s="3">
        <v>259.43</v>
      </c>
      <c r="J49" s="3">
        <v>50.57</v>
      </c>
    </row>
    <row r="50" spans="1:10" ht="15" thickBot="1" x14ac:dyDescent="0.35">
      <c r="A50" s="1" t="s">
        <v>77</v>
      </c>
      <c r="B50" s="1" t="s">
        <v>48</v>
      </c>
      <c r="C50" s="1" t="s">
        <v>18</v>
      </c>
      <c r="D50" s="1" t="s">
        <v>23</v>
      </c>
      <c r="E50" s="1" t="s">
        <v>24</v>
      </c>
      <c r="F50" s="1" t="s">
        <v>15</v>
      </c>
      <c r="G50" s="2">
        <v>44975</v>
      </c>
      <c r="H50" s="3">
        <v>225</v>
      </c>
      <c r="I50" s="3">
        <v>296.08999999999997</v>
      </c>
      <c r="J50" s="3">
        <v>238.53</v>
      </c>
    </row>
    <row r="51" spans="1:10" ht="15" thickBot="1" x14ac:dyDescent="0.35">
      <c r="A51" s="1" t="s">
        <v>78</v>
      </c>
      <c r="B51" s="1"/>
      <c r="C51" s="1" t="s">
        <v>12</v>
      </c>
      <c r="D51" s="1" t="s">
        <v>19</v>
      </c>
      <c r="E51" s="1" t="s">
        <v>14</v>
      </c>
      <c r="F51" s="1" t="s">
        <v>15</v>
      </c>
      <c r="G51" s="2">
        <v>44976</v>
      </c>
      <c r="H51" s="3">
        <v>156</v>
      </c>
      <c r="I51" s="3">
        <v>19.55</v>
      </c>
      <c r="J51" s="3">
        <v>374.71</v>
      </c>
    </row>
    <row r="52" spans="1:10" ht="15" thickBot="1" x14ac:dyDescent="0.35">
      <c r="A52" s="1" t="s">
        <v>79</v>
      </c>
      <c r="B52" s="1" t="s">
        <v>11</v>
      </c>
      <c r="C52" s="1" t="s">
        <v>18</v>
      </c>
      <c r="D52" s="1" t="s">
        <v>27</v>
      </c>
      <c r="E52" s="1" t="s">
        <v>14</v>
      </c>
      <c r="F52" s="1" t="s">
        <v>28</v>
      </c>
      <c r="G52" s="2">
        <v>44977</v>
      </c>
      <c r="H52" s="3">
        <v>345</v>
      </c>
      <c r="I52" s="3">
        <v>200.78</v>
      </c>
      <c r="J52" s="3">
        <v>350.69</v>
      </c>
    </row>
    <row r="53" spans="1:10" ht="15" thickBot="1" x14ac:dyDescent="0.35">
      <c r="A53" s="1" t="s">
        <v>80</v>
      </c>
      <c r="B53" s="1" t="s">
        <v>48</v>
      </c>
      <c r="C53" s="1" t="s">
        <v>50</v>
      </c>
      <c r="D53" s="1" t="s">
        <v>19</v>
      </c>
      <c r="E53" s="1" t="s">
        <v>14</v>
      </c>
      <c r="F53" s="1" t="s">
        <v>20</v>
      </c>
      <c r="G53" s="2">
        <v>44978</v>
      </c>
      <c r="H53" s="3">
        <v>177</v>
      </c>
      <c r="I53" s="3">
        <v>305.06</v>
      </c>
      <c r="J53" s="3">
        <v>112.55</v>
      </c>
    </row>
    <row r="54" spans="1:10" ht="15" thickBot="1" x14ac:dyDescent="0.35">
      <c r="A54" s="1" t="s">
        <v>81</v>
      </c>
      <c r="B54" s="1" t="s">
        <v>11</v>
      </c>
      <c r="C54" s="1" t="s">
        <v>12</v>
      </c>
      <c r="D54" s="1" t="s">
        <v>19</v>
      </c>
      <c r="E54" s="1" t="s">
        <v>24</v>
      </c>
      <c r="F54" s="1" t="s">
        <v>15</v>
      </c>
      <c r="G54" s="2">
        <v>44979</v>
      </c>
      <c r="H54" s="3">
        <v>101</v>
      </c>
      <c r="I54" s="3">
        <v>300.87</v>
      </c>
      <c r="J54" s="3">
        <v>340.88</v>
      </c>
    </row>
    <row r="55" spans="1:10" ht="15" thickBot="1" x14ac:dyDescent="0.35">
      <c r="A55" s="1" t="s">
        <v>82</v>
      </c>
      <c r="B55" s="1" t="s">
        <v>17</v>
      </c>
      <c r="C55" s="1" t="s">
        <v>31</v>
      </c>
      <c r="D55" s="1" t="s">
        <v>13</v>
      </c>
      <c r="E55" s="1" t="s">
        <v>24</v>
      </c>
      <c r="F55" s="1" t="s">
        <v>20</v>
      </c>
      <c r="G55" s="2">
        <v>44980</v>
      </c>
      <c r="H55" s="3">
        <v>362</v>
      </c>
      <c r="I55" s="3">
        <v>397.51</v>
      </c>
      <c r="J55" s="3">
        <v>2.13</v>
      </c>
    </row>
    <row r="56" spans="1:10" ht="15" thickBot="1" x14ac:dyDescent="0.35">
      <c r="A56" s="1" t="s">
        <v>83</v>
      </c>
      <c r="B56" s="1" t="s">
        <v>11</v>
      </c>
      <c r="C56" s="1" t="s">
        <v>18</v>
      </c>
      <c r="D56" s="1" t="s">
        <v>27</v>
      </c>
      <c r="E56" s="1" t="s">
        <v>24</v>
      </c>
      <c r="F56" s="1" t="s">
        <v>28</v>
      </c>
      <c r="G56" s="2">
        <v>44981</v>
      </c>
      <c r="H56" s="3">
        <v>68</v>
      </c>
      <c r="I56" s="3">
        <v>329.23</v>
      </c>
      <c r="J56" s="3">
        <v>9.0399999999999991</v>
      </c>
    </row>
    <row r="57" spans="1:10" ht="15" thickBot="1" x14ac:dyDescent="0.35">
      <c r="A57" s="1" t="s">
        <v>84</v>
      </c>
      <c r="B57" s="1" t="s">
        <v>17</v>
      </c>
      <c r="C57" s="1" t="s">
        <v>18</v>
      </c>
      <c r="D57" s="1" t="s">
        <v>19</v>
      </c>
      <c r="E57" s="1" t="s">
        <v>24</v>
      </c>
      <c r="F57" s="1" t="s">
        <v>28</v>
      </c>
      <c r="G57" s="2">
        <v>44982</v>
      </c>
      <c r="H57" s="3">
        <v>68</v>
      </c>
      <c r="I57" s="3">
        <v>496.11</v>
      </c>
      <c r="J57" s="3">
        <v>241.82</v>
      </c>
    </row>
    <row r="58" spans="1:10" ht="15" thickBot="1" x14ac:dyDescent="0.35">
      <c r="A58" s="1" t="s">
        <v>85</v>
      </c>
      <c r="B58" s="1" t="s">
        <v>17</v>
      </c>
      <c r="C58" s="1" t="s">
        <v>12</v>
      </c>
      <c r="D58" s="1" t="s">
        <v>19</v>
      </c>
      <c r="E58" s="1" t="s">
        <v>14</v>
      </c>
      <c r="F58" s="1" t="s">
        <v>15</v>
      </c>
      <c r="G58" s="2">
        <v>44983</v>
      </c>
      <c r="H58" s="3">
        <v>313</v>
      </c>
      <c r="I58" s="3">
        <v>145.51</v>
      </c>
      <c r="J58" s="3">
        <v>147.19</v>
      </c>
    </row>
    <row r="59" spans="1:10" ht="15" thickBot="1" x14ac:dyDescent="0.35">
      <c r="A59" s="1" t="s">
        <v>86</v>
      </c>
      <c r="B59" s="1" t="s">
        <v>22</v>
      </c>
      <c r="C59" s="1" t="s">
        <v>31</v>
      </c>
      <c r="D59" s="1" t="s">
        <v>27</v>
      </c>
      <c r="E59" s="1" t="s">
        <v>14</v>
      </c>
      <c r="F59" s="1" t="s">
        <v>28</v>
      </c>
      <c r="G59" s="2">
        <v>44984</v>
      </c>
      <c r="H59" s="3">
        <v>178</v>
      </c>
      <c r="I59" s="3">
        <v>182.78</v>
      </c>
      <c r="J59" s="3">
        <v>155.81</v>
      </c>
    </row>
    <row r="60" spans="1:10" ht="15" thickBot="1" x14ac:dyDescent="0.35">
      <c r="A60" s="1" t="s">
        <v>87</v>
      </c>
      <c r="B60" s="1" t="s">
        <v>11</v>
      </c>
      <c r="C60" s="1" t="s">
        <v>31</v>
      </c>
      <c r="D60" s="1" t="s">
        <v>27</v>
      </c>
      <c r="E60" s="1" t="s">
        <v>14</v>
      </c>
      <c r="F60" s="1" t="s">
        <v>15</v>
      </c>
      <c r="G60" s="2">
        <v>44985</v>
      </c>
      <c r="H60" s="3">
        <v>278</v>
      </c>
      <c r="I60" s="3">
        <v>195</v>
      </c>
      <c r="J60" s="3">
        <v>226.65</v>
      </c>
    </row>
    <row r="61" spans="1:10" ht="15" thickBot="1" x14ac:dyDescent="0.35">
      <c r="A61" s="1" t="s">
        <v>88</v>
      </c>
      <c r="B61" s="1" t="s">
        <v>22</v>
      </c>
      <c r="C61" s="1" t="s">
        <v>50</v>
      </c>
      <c r="D61" s="1" t="s">
        <v>19</v>
      </c>
      <c r="E61" s="1" t="s">
        <v>14</v>
      </c>
      <c r="F61" s="1" t="s">
        <v>28</v>
      </c>
      <c r="G61" s="2">
        <v>44986</v>
      </c>
      <c r="H61" s="3">
        <v>372</v>
      </c>
      <c r="I61" s="3">
        <v>235.58</v>
      </c>
      <c r="J61" s="3">
        <v>78.33</v>
      </c>
    </row>
    <row r="62" spans="1:10" ht="15" thickBot="1" x14ac:dyDescent="0.35">
      <c r="A62" s="1" t="s">
        <v>89</v>
      </c>
      <c r="B62" s="1" t="s">
        <v>11</v>
      </c>
      <c r="C62" s="1" t="s">
        <v>31</v>
      </c>
      <c r="D62" s="1" t="s">
        <v>27</v>
      </c>
      <c r="E62" s="1" t="s">
        <v>24</v>
      </c>
      <c r="F62" s="1" t="s">
        <v>28</v>
      </c>
      <c r="G62" s="2">
        <v>44987</v>
      </c>
      <c r="H62" s="3">
        <v>54</v>
      </c>
      <c r="I62" s="3">
        <v>418.82</v>
      </c>
      <c r="J62" s="3">
        <v>86.28</v>
      </c>
    </row>
    <row r="63" spans="1:10" ht="15" thickBot="1" x14ac:dyDescent="0.35">
      <c r="A63" s="1" t="s">
        <v>90</v>
      </c>
      <c r="B63" s="1" t="s">
        <v>11</v>
      </c>
      <c r="C63" s="1" t="s">
        <v>31</v>
      </c>
      <c r="D63" s="1" t="s">
        <v>19</v>
      </c>
      <c r="E63" s="1" t="s">
        <v>24</v>
      </c>
      <c r="F63" s="1" t="s">
        <v>15</v>
      </c>
      <c r="G63" s="2">
        <v>44988</v>
      </c>
      <c r="H63" s="3">
        <v>354</v>
      </c>
      <c r="I63" s="3">
        <v>121.72</v>
      </c>
      <c r="J63" s="3">
        <v>194.87</v>
      </c>
    </row>
    <row r="64" spans="1:10" ht="15" thickBot="1" x14ac:dyDescent="0.35">
      <c r="A64" s="1" t="s">
        <v>91</v>
      </c>
      <c r="B64" s="1" t="s">
        <v>22</v>
      </c>
      <c r="C64" s="1" t="s">
        <v>31</v>
      </c>
      <c r="D64" s="1" t="s">
        <v>19</v>
      </c>
      <c r="E64" s="1" t="s">
        <v>14</v>
      </c>
      <c r="F64" s="1" t="s">
        <v>15</v>
      </c>
      <c r="G64" s="2">
        <v>44989</v>
      </c>
      <c r="H64" s="3">
        <v>190</v>
      </c>
      <c r="I64" s="3">
        <v>389.12</v>
      </c>
      <c r="J64" s="3">
        <v>302.19</v>
      </c>
    </row>
    <row r="65" spans="1:10" ht="15" thickBot="1" x14ac:dyDescent="0.35">
      <c r="A65" s="1" t="s">
        <v>92</v>
      </c>
      <c r="B65" s="1"/>
      <c r="C65" s="1" t="s">
        <v>26</v>
      </c>
      <c r="D65" s="1" t="s">
        <v>13</v>
      </c>
      <c r="E65" s="1" t="s">
        <v>14</v>
      </c>
      <c r="F65" s="1" t="s">
        <v>15</v>
      </c>
      <c r="G65" s="2">
        <v>44990</v>
      </c>
      <c r="H65" s="3">
        <v>179</v>
      </c>
      <c r="I65" s="3">
        <v>205.63</v>
      </c>
      <c r="J65" s="3">
        <v>248.56</v>
      </c>
    </row>
    <row r="66" spans="1:10" ht="15" thickBot="1" x14ac:dyDescent="0.35">
      <c r="A66" s="1" t="s">
        <v>93</v>
      </c>
      <c r="B66" s="1" t="s">
        <v>11</v>
      </c>
      <c r="C66" s="1" t="s">
        <v>50</v>
      </c>
      <c r="D66" s="1" t="s">
        <v>42</v>
      </c>
      <c r="E66" s="1" t="s">
        <v>24</v>
      </c>
      <c r="F66" s="1" t="s">
        <v>28</v>
      </c>
      <c r="G66" s="2">
        <v>44991</v>
      </c>
      <c r="H66" s="3">
        <v>365</v>
      </c>
      <c r="I66" s="3">
        <v>302.92</v>
      </c>
      <c r="J66" s="3">
        <v>120.35</v>
      </c>
    </row>
    <row r="67" spans="1:10" ht="15" thickBot="1" x14ac:dyDescent="0.35">
      <c r="A67" s="1" t="s">
        <v>94</v>
      </c>
      <c r="B67" s="1" t="s">
        <v>48</v>
      </c>
      <c r="C67" s="1" t="s">
        <v>18</v>
      </c>
      <c r="D67" s="1" t="s">
        <v>19</v>
      </c>
      <c r="E67" s="1" t="s">
        <v>14</v>
      </c>
      <c r="F67" s="1" t="s">
        <v>28</v>
      </c>
      <c r="G67" s="2">
        <v>44992</v>
      </c>
      <c r="H67" s="3">
        <v>200</v>
      </c>
      <c r="I67" s="3">
        <v>318.11</v>
      </c>
      <c r="J67" s="3">
        <v>173.27</v>
      </c>
    </row>
    <row r="68" spans="1:10" ht="15" thickBot="1" x14ac:dyDescent="0.35">
      <c r="A68" s="1" t="s">
        <v>95</v>
      </c>
      <c r="B68" s="1" t="s">
        <v>17</v>
      </c>
      <c r="C68" s="1" t="s">
        <v>12</v>
      </c>
      <c r="D68" s="1" t="s">
        <v>23</v>
      </c>
      <c r="E68" s="1" t="s">
        <v>24</v>
      </c>
      <c r="F68" s="1" t="s">
        <v>20</v>
      </c>
      <c r="G68" s="2">
        <v>44993</v>
      </c>
      <c r="H68" s="3">
        <v>164</v>
      </c>
      <c r="I68" s="3">
        <v>189.56</v>
      </c>
      <c r="J68" s="3">
        <v>69.92</v>
      </c>
    </row>
    <row r="69" spans="1:10" ht="15" thickBot="1" x14ac:dyDescent="0.35">
      <c r="A69" s="1" t="s">
        <v>96</v>
      </c>
      <c r="B69" s="1" t="s">
        <v>22</v>
      </c>
      <c r="C69" s="1" t="s">
        <v>18</v>
      </c>
      <c r="D69" s="1" t="s">
        <v>42</v>
      </c>
      <c r="E69" s="1" t="s">
        <v>14</v>
      </c>
      <c r="F69" s="1" t="s">
        <v>15</v>
      </c>
      <c r="G69" s="2">
        <v>44994</v>
      </c>
      <c r="H69" s="3">
        <v>431</v>
      </c>
      <c r="I69" s="3">
        <v>258.74</v>
      </c>
      <c r="J69" s="3">
        <v>31.7</v>
      </c>
    </row>
    <row r="70" spans="1:10" ht="15" thickBot="1" x14ac:dyDescent="0.35">
      <c r="A70" s="1" t="s">
        <v>97</v>
      </c>
      <c r="B70" s="1" t="s">
        <v>17</v>
      </c>
      <c r="C70" s="1" t="s">
        <v>50</v>
      </c>
      <c r="D70" s="1" t="s">
        <v>42</v>
      </c>
      <c r="E70" s="1" t="s">
        <v>14</v>
      </c>
      <c r="F70" s="1" t="s">
        <v>28</v>
      </c>
      <c r="G70" s="2">
        <v>44995</v>
      </c>
      <c r="H70" s="3">
        <v>197</v>
      </c>
      <c r="I70" s="3">
        <v>209.45</v>
      </c>
      <c r="J70" s="3">
        <v>313.51</v>
      </c>
    </row>
    <row r="71" spans="1:10" ht="15" thickBot="1" x14ac:dyDescent="0.35">
      <c r="A71" s="1" t="s">
        <v>98</v>
      </c>
      <c r="B71" s="1" t="s">
        <v>48</v>
      </c>
      <c r="C71" s="1" t="s">
        <v>12</v>
      </c>
      <c r="D71" s="1" t="s">
        <v>42</v>
      </c>
      <c r="E71" s="1" t="s">
        <v>14</v>
      </c>
      <c r="F71" s="1" t="s">
        <v>28</v>
      </c>
      <c r="G71" s="2">
        <v>44996</v>
      </c>
      <c r="H71" s="3">
        <v>16</v>
      </c>
      <c r="I71" s="3">
        <v>39.22</v>
      </c>
      <c r="J71" s="3">
        <v>107.62</v>
      </c>
    </row>
    <row r="72" spans="1:10" ht="15" thickBot="1" x14ac:dyDescent="0.35">
      <c r="A72" s="1" t="s">
        <v>99</v>
      </c>
      <c r="B72" s="1" t="s">
        <v>48</v>
      </c>
      <c r="C72" s="1" t="s">
        <v>50</v>
      </c>
      <c r="D72" s="1" t="s">
        <v>13</v>
      </c>
      <c r="E72" s="1" t="s">
        <v>14</v>
      </c>
      <c r="F72" s="1" t="s">
        <v>15</v>
      </c>
      <c r="G72" s="2">
        <v>44997</v>
      </c>
      <c r="H72" s="3">
        <v>142</v>
      </c>
      <c r="I72" s="3">
        <v>221.4</v>
      </c>
      <c r="J72" s="3">
        <v>72.75</v>
      </c>
    </row>
    <row r="73" spans="1:10" ht="15" thickBot="1" x14ac:dyDescent="0.35">
      <c r="A73" s="1" t="s">
        <v>100</v>
      </c>
      <c r="B73" s="1" t="s">
        <v>48</v>
      </c>
      <c r="C73" s="1" t="s">
        <v>31</v>
      </c>
      <c r="D73" s="1" t="s">
        <v>19</v>
      </c>
      <c r="E73" s="1" t="s">
        <v>14</v>
      </c>
      <c r="F73" s="1" t="s">
        <v>20</v>
      </c>
      <c r="G73" s="2">
        <v>44998</v>
      </c>
      <c r="H73" s="3">
        <v>244</v>
      </c>
      <c r="I73" s="3">
        <v>53.21</v>
      </c>
      <c r="J73" s="3">
        <v>277.26</v>
      </c>
    </row>
    <row r="74" spans="1:10" ht="15" thickBot="1" x14ac:dyDescent="0.35">
      <c r="A74" s="1" t="s">
        <v>101</v>
      </c>
      <c r="B74" s="1" t="s">
        <v>22</v>
      </c>
      <c r="C74" s="1" t="s">
        <v>12</v>
      </c>
      <c r="D74" s="1" t="s">
        <v>13</v>
      </c>
      <c r="E74" s="1" t="s">
        <v>14</v>
      </c>
      <c r="F74" s="1" t="s">
        <v>15</v>
      </c>
      <c r="G74" s="2">
        <v>44999</v>
      </c>
      <c r="H74" s="3">
        <v>54</v>
      </c>
      <c r="I74" s="3">
        <v>205.49</v>
      </c>
      <c r="J74" s="3">
        <v>247.98</v>
      </c>
    </row>
    <row r="75" spans="1:10" ht="15" thickBot="1" x14ac:dyDescent="0.35">
      <c r="A75" s="1" t="s">
        <v>102</v>
      </c>
      <c r="B75" s="1" t="s">
        <v>48</v>
      </c>
      <c r="C75" s="1" t="s">
        <v>31</v>
      </c>
      <c r="D75" s="1" t="s">
        <v>19</v>
      </c>
      <c r="E75" s="1" t="s">
        <v>14</v>
      </c>
      <c r="F75" s="1" t="s">
        <v>20</v>
      </c>
      <c r="G75" s="2">
        <v>45000</v>
      </c>
      <c r="H75" s="3">
        <v>323</v>
      </c>
      <c r="I75" s="3">
        <v>298.49</v>
      </c>
      <c r="J75" s="3">
        <v>254.01</v>
      </c>
    </row>
    <row r="76" spans="1:10" ht="15" thickBot="1" x14ac:dyDescent="0.35">
      <c r="A76" s="1" t="s">
        <v>103</v>
      </c>
      <c r="B76" s="1" t="s">
        <v>22</v>
      </c>
      <c r="C76" s="1" t="s">
        <v>18</v>
      </c>
      <c r="D76" s="1" t="s">
        <v>13</v>
      </c>
      <c r="E76" s="1" t="s">
        <v>24</v>
      </c>
      <c r="F76" s="1" t="s">
        <v>28</v>
      </c>
      <c r="G76" s="2">
        <v>45001</v>
      </c>
      <c r="H76" s="3">
        <v>258</v>
      </c>
      <c r="I76" s="3">
        <v>291.81</v>
      </c>
      <c r="J76" s="3">
        <v>93.1</v>
      </c>
    </row>
    <row r="77" spans="1:10" ht="15" thickBot="1" x14ac:dyDescent="0.35">
      <c r="A77" s="1" t="s">
        <v>104</v>
      </c>
      <c r="B77" s="1" t="s">
        <v>48</v>
      </c>
      <c r="C77" s="1" t="s">
        <v>18</v>
      </c>
      <c r="D77" s="1" t="s">
        <v>13</v>
      </c>
      <c r="E77" s="1" t="s">
        <v>24</v>
      </c>
      <c r="F77" s="1" t="s">
        <v>20</v>
      </c>
      <c r="G77" s="2">
        <v>45002</v>
      </c>
      <c r="H77" s="3">
        <v>40</v>
      </c>
      <c r="I77" s="3">
        <v>333</v>
      </c>
      <c r="J77" s="3">
        <v>94.59</v>
      </c>
    </row>
    <row r="78" spans="1:10" ht="15" thickBot="1" x14ac:dyDescent="0.35">
      <c r="A78" s="1" t="s">
        <v>105</v>
      </c>
      <c r="B78" s="1" t="s">
        <v>17</v>
      </c>
      <c r="C78" s="1" t="s">
        <v>12</v>
      </c>
      <c r="D78" s="1" t="s">
        <v>23</v>
      </c>
      <c r="E78" s="1" t="s">
        <v>24</v>
      </c>
      <c r="F78" s="1" t="s">
        <v>28</v>
      </c>
      <c r="G78" s="2">
        <v>45003</v>
      </c>
      <c r="H78" s="3">
        <v>32</v>
      </c>
      <c r="I78" s="3">
        <v>52.15</v>
      </c>
      <c r="J78" s="3">
        <v>89.88</v>
      </c>
    </row>
    <row r="79" spans="1:10" ht="15" thickBot="1" x14ac:dyDescent="0.35">
      <c r="A79" s="1" t="s">
        <v>106</v>
      </c>
      <c r="B79" s="1" t="s">
        <v>17</v>
      </c>
      <c r="C79" s="1" t="s">
        <v>12</v>
      </c>
      <c r="D79" s="1" t="s">
        <v>13</v>
      </c>
      <c r="E79" s="1" t="s">
        <v>24</v>
      </c>
      <c r="F79" s="1" t="s">
        <v>15</v>
      </c>
      <c r="G79" s="2">
        <v>45004</v>
      </c>
      <c r="H79" s="3">
        <v>435</v>
      </c>
      <c r="I79" s="3">
        <v>327.8</v>
      </c>
      <c r="J79" s="3">
        <v>71.150000000000006</v>
      </c>
    </row>
    <row r="80" spans="1:10" ht="15" thickBot="1" x14ac:dyDescent="0.35">
      <c r="A80" s="1" t="s">
        <v>107</v>
      </c>
      <c r="B80" s="1" t="s">
        <v>11</v>
      </c>
      <c r="C80" s="1" t="s">
        <v>50</v>
      </c>
      <c r="D80" s="1" t="s">
        <v>27</v>
      </c>
      <c r="E80" s="1" t="s">
        <v>24</v>
      </c>
      <c r="F80" s="1" t="s">
        <v>15</v>
      </c>
      <c r="G80" s="2">
        <v>45005</v>
      </c>
      <c r="H80" s="3">
        <v>403</v>
      </c>
      <c r="I80" s="3">
        <v>159.51</v>
      </c>
      <c r="J80" s="3">
        <v>262.98</v>
      </c>
    </row>
    <row r="81" spans="1:10" ht="15" thickBot="1" x14ac:dyDescent="0.35">
      <c r="A81" s="1" t="s">
        <v>108</v>
      </c>
      <c r="B81" s="1" t="s">
        <v>17</v>
      </c>
      <c r="C81" s="1" t="s">
        <v>50</v>
      </c>
      <c r="D81" s="1" t="s">
        <v>23</v>
      </c>
      <c r="E81" s="1" t="s">
        <v>14</v>
      </c>
      <c r="F81" s="1" t="s">
        <v>15</v>
      </c>
      <c r="G81" s="2">
        <v>45006</v>
      </c>
      <c r="H81" s="3">
        <v>169</v>
      </c>
      <c r="I81" s="1"/>
      <c r="J81" s="3">
        <v>339.51</v>
      </c>
    </row>
    <row r="82" spans="1:10" ht="15" thickBot="1" x14ac:dyDescent="0.35">
      <c r="A82" s="1" t="s">
        <v>109</v>
      </c>
      <c r="B82" s="1" t="s">
        <v>11</v>
      </c>
      <c r="C82" s="1" t="s">
        <v>31</v>
      </c>
      <c r="D82" s="1" t="s">
        <v>13</v>
      </c>
      <c r="E82" s="1" t="s">
        <v>14</v>
      </c>
      <c r="F82" s="1" t="s">
        <v>20</v>
      </c>
      <c r="G82" s="2">
        <v>45007</v>
      </c>
      <c r="H82" s="3">
        <v>372</v>
      </c>
      <c r="I82" s="3">
        <v>429.7</v>
      </c>
      <c r="J82" s="3">
        <v>290.27999999999997</v>
      </c>
    </row>
    <row r="83" spans="1:10" ht="15" thickBot="1" x14ac:dyDescent="0.35">
      <c r="A83" s="1" t="s">
        <v>110</v>
      </c>
      <c r="B83" s="1" t="s">
        <v>17</v>
      </c>
      <c r="C83" s="1" t="s">
        <v>12</v>
      </c>
      <c r="D83" s="1" t="s">
        <v>42</v>
      </c>
      <c r="E83" s="1" t="s">
        <v>24</v>
      </c>
      <c r="F83" s="1" t="s">
        <v>28</v>
      </c>
      <c r="G83" s="2">
        <v>45008</v>
      </c>
      <c r="H83" s="3">
        <v>446</v>
      </c>
      <c r="I83" s="3">
        <v>9.4700000000000006</v>
      </c>
      <c r="J83" s="3">
        <v>317.25</v>
      </c>
    </row>
    <row r="84" spans="1:10" ht="15" thickBot="1" x14ac:dyDescent="0.35">
      <c r="A84" s="1" t="s">
        <v>111</v>
      </c>
      <c r="B84" s="1" t="s">
        <v>22</v>
      </c>
      <c r="C84" s="1" t="s">
        <v>18</v>
      </c>
      <c r="D84" s="1" t="s">
        <v>27</v>
      </c>
      <c r="E84" s="1" t="s">
        <v>14</v>
      </c>
      <c r="F84" s="1" t="s">
        <v>15</v>
      </c>
      <c r="G84" s="2">
        <v>45009</v>
      </c>
      <c r="H84" s="3">
        <v>167</v>
      </c>
      <c r="I84" s="3">
        <v>296.26</v>
      </c>
      <c r="J84" s="3">
        <v>163.11000000000001</v>
      </c>
    </row>
    <row r="85" spans="1:10" ht="15" thickBot="1" x14ac:dyDescent="0.35">
      <c r="A85" s="1" t="s">
        <v>112</v>
      </c>
      <c r="B85" s="1" t="s">
        <v>17</v>
      </c>
      <c r="C85" s="1" t="s">
        <v>50</v>
      </c>
      <c r="D85" s="1" t="s">
        <v>27</v>
      </c>
      <c r="E85" s="1" t="s">
        <v>24</v>
      </c>
      <c r="F85" s="1" t="s">
        <v>15</v>
      </c>
      <c r="G85" s="2">
        <v>45010</v>
      </c>
      <c r="H85" s="3">
        <v>48</v>
      </c>
      <c r="I85" s="3">
        <v>301.36</v>
      </c>
      <c r="J85" s="3">
        <v>262.32</v>
      </c>
    </row>
    <row r="86" spans="1:10" ht="15" thickBot="1" x14ac:dyDescent="0.35">
      <c r="A86" s="1" t="s">
        <v>113</v>
      </c>
      <c r="B86" s="1" t="s">
        <v>11</v>
      </c>
      <c r="C86" s="1" t="s">
        <v>50</v>
      </c>
      <c r="D86" s="1" t="s">
        <v>27</v>
      </c>
      <c r="E86" s="1" t="s">
        <v>24</v>
      </c>
      <c r="F86" s="1" t="s">
        <v>28</v>
      </c>
      <c r="G86" s="2">
        <v>45011</v>
      </c>
      <c r="H86" s="3">
        <v>424</v>
      </c>
      <c r="I86" s="3">
        <v>201.35</v>
      </c>
      <c r="J86" s="3">
        <v>142.99</v>
      </c>
    </row>
    <row r="87" spans="1:10" ht="15" thickBot="1" x14ac:dyDescent="0.35">
      <c r="A87" s="1" t="s">
        <v>114</v>
      </c>
      <c r="B87" s="1" t="s">
        <v>11</v>
      </c>
      <c r="C87" s="1" t="s">
        <v>18</v>
      </c>
      <c r="D87" s="1" t="s">
        <v>23</v>
      </c>
      <c r="E87" s="1" t="s">
        <v>14</v>
      </c>
      <c r="F87" s="1" t="s">
        <v>15</v>
      </c>
      <c r="G87" s="2">
        <v>45012</v>
      </c>
      <c r="H87" s="3">
        <v>91</v>
      </c>
      <c r="I87" s="3">
        <v>122.33</v>
      </c>
      <c r="J87" s="3">
        <v>211.15</v>
      </c>
    </row>
    <row r="88" spans="1:10" ht="15" thickBot="1" x14ac:dyDescent="0.35">
      <c r="A88" s="1" t="s">
        <v>115</v>
      </c>
      <c r="B88" s="1" t="s">
        <v>48</v>
      </c>
      <c r="C88" s="1" t="s">
        <v>50</v>
      </c>
      <c r="D88" s="1" t="s">
        <v>13</v>
      </c>
      <c r="E88" s="1" t="s">
        <v>14</v>
      </c>
      <c r="F88" s="1" t="s">
        <v>28</v>
      </c>
      <c r="G88" s="2">
        <v>45013</v>
      </c>
      <c r="H88" s="3">
        <v>365</v>
      </c>
      <c r="I88" s="3">
        <v>121.16</v>
      </c>
      <c r="J88" s="3">
        <v>193.69</v>
      </c>
    </row>
    <row r="89" spans="1:10" ht="15" thickBot="1" x14ac:dyDescent="0.35">
      <c r="A89" s="1" t="s">
        <v>116</v>
      </c>
      <c r="B89" s="1" t="s">
        <v>22</v>
      </c>
      <c r="C89" s="1" t="s">
        <v>31</v>
      </c>
      <c r="D89" s="1" t="s">
        <v>13</v>
      </c>
      <c r="E89" s="1" t="s">
        <v>14</v>
      </c>
      <c r="F89" s="1" t="s">
        <v>28</v>
      </c>
      <c r="G89" s="2">
        <v>45014</v>
      </c>
      <c r="H89" s="3">
        <v>267</v>
      </c>
      <c r="I89" s="3">
        <v>442.44</v>
      </c>
      <c r="J89" s="3">
        <v>72.400000000000006</v>
      </c>
    </row>
    <row r="90" spans="1:10" ht="15" thickBot="1" x14ac:dyDescent="0.35">
      <c r="A90" s="1" t="s">
        <v>117</v>
      </c>
      <c r="B90" s="1" t="s">
        <v>17</v>
      </c>
      <c r="C90" s="1" t="s">
        <v>12</v>
      </c>
      <c r="D90" s="1" t="s">
        <v>42</v>
      </c>
      <c r="E90" s="1" t="s">
        <v>24</v>
      </c>
      <c r="F90" s="1" t="s">
        <v>28</v>
      </c>
      <c r="G90" s="2">
        <v>45015</v>
      </c>
      <c r="H90" s="3">
        <v>215</v>
      </c>
      <c r="I90" s="3">
        <v>223.8</v>
      </c>
      <c r="J90" s="3">
        <v>156.06</v>
      </c>
    </row>
    <row r="91" spans="1:10" ht="15" thickBot="1" x14ac:dyDescent="0.35">
      <c r="A91" s="1" t="s">
        <v>118</v>
      </c>
      <c r="B91" s="1" t="s">
        <v>48</v>
      </c>
      <c r="C91" s="1" t="s">
        <v>18</v>
      </c>
      <c r="D91" s="1" t="s">
        <v>42</v>
      </c>
      <c r="E91" s="1" t="s">
        <v>14</v>
      </c>
      <c r="F91" s="1" t="s">
        <v>28</v>
      </c>
      <c r="G91" s="2">
        <v>45016</v>
      </c>
      <c r="H91" s="3">
        <v>86</v>
      </c>
      <c r="I91" s="3">
        <v>168.79</v>
      </c>
      <c r="J91" s="3">
        <v>385.6</v>
      </c>
    </row>
    <row r="92" spans="1:10" ht="15" thickBot="1" x14ac:dyDescent="0.35">
      <c r="A92" s="1" t="s">
        <v>119</v>
      </c>
      <c r="B92" s="1" t="s">
        <v>17</v>
      </c>
      <c r="C92" s="1" t="s">
        <v>12</v>
      </c>
      <c r="D92" s="1" t="s">
        <v>27</v>
      </c>
      <c r="E92" s="1" t="s">
        <v>24</v>
      </c>
      <c r="F92" s="1" t="s">
        <v>28</v>
      </c>
      <c r="G92" s="2">
        <v>45017</v>
      </c>
      <c r="H92" s="3">
        <v>486</v>
      </c>
      <c r="I92" s="3">
        <v>227.14</v>
      </c>
      <c r="J92" s="3">
        <v>100.93</v>
      </c>
    </row>
    <row r="93" spans="1:10" ht="15" thickBot="1" x14ac:dyDescent="0.35">
      <c r="A93" s="1" t="s">
        <v>120</v>
      </c>
      <c r="B93" s="1" t="s">
        <v>17</v>
      </c>
      <c r="C93" s="1" t="s">
        <v>50</v>
      </c>
      <c r="D93" s="1" t="s">
        <v>42</v>
      </c>
      <c r="E93" s="1" t="s">
        <v>24</v>
      </c>
      <c r="F93" s="1" t="s">
        <v>20</v>
      </c>
      <c r="G93" s="2">
        <v>45018</v>
      </c>
      <c r="H93" s="3">
        <v>21</v>
      </c>
      <c r="I93" s="1"/>
      <c r="J93" s="3">
        <v>55.25</v>
      </c>
    </row>
    <row r="94" spans="1:10" ht="15" thickBot="1" x14ac:dyDescent="0.35">
      <c r="A94" s="1" t="s">
        <v>121</v>
      </c>
      <c r="B94" s="1" t="s">
        <v>48</v>
      </c>
      <c r="C94" s="1" t="s">
        <v>50</v>
      </c>
      <c r="D94" s="1" t="s">
        <v>23</v>
      </c>
      <c r="E94" s="1" t="s">
        <v>24</v>
      </c>
      <c r="F94" s="1" t="s">
        <v>15</v>
      </c>
      <c r="G94" s="2">
        <v>45019</v>
      </c>
      <c r="H94" s="3">
        <v>304</v>
      </c>
      <c r="I94" s="3">
        <v>77.150000000000006</v>
      </c>
      <c r="J94" s="3">
        <v>168.6</v>
      </c>
    </row>
    <row r="95" spans="1:10" ht="15" thickBot="1" x14ac:dyDescent="0.35">
      <c r="A95" s="1" t="s">
        <v>122</v>
      </c>
      <c r="B95" s="1" t="s">
        <v>48</v>
      </c>
      <c r="C95" s="1" t="s">
        <v>18</v>
      </c>
      <c r="D95" s="1" t="s">
        <v>13</v>
      </c>
      <c r="E95" s="1" t="s">
        <v>14</v>
      </c>
      <c r="F95" s="1" t="s">
        <v>20</v>
      </c>
      <c r="G95" s="2">
        <v>45020</v>
      </c>
      <c r="H95" s="3">
        <v>459</v>
      </c>
      <c r="I95" s="3">
        <v>227.47</v>
      </c>
      <c r="J95" s="3">
        <v>316.55</v>
      </c>
    </row>
    <row r="96" spans="1:10" ht="15" thickBot="1" x14ac:dyDescent="0.35">
      <c r="A96" s="1" t="s">
        <v>123</v>
      </c>
      <c r="B96" s="1" t="s">
        <v>48</v>
      </c>
      <c r="C96" s="1" t="s">
        <v>31</v>
      </c>
      <c r="D96" s="1" t="s">
        <v>27</v>
      </c>
      <c r="E96" s="1" t="s">
        <v>14</v>
      </c>
      <c r="F96" s="1" t="s">
        <v>15</v>
      </c>
      <c r="G96" s="2">
        <v>45021</v>
      </c>
      <c r="H96" s="3">
        <v>233</v>
      </c>
      <c r="I96" s="3">
        <v>296</v>
      </c>
      <c r="J96" s="3">
        <v>233.69</v>
      </c>
    </row>
    <row r="97" spans="1:10" ht="15" thickBot="1" x14ac:dyDescent="0.35">
      <c r="A97" s="1" t="s">
        <v>124</v>
      </c>
      <c r="B97" s="1" t="s">
        <v>48</v>
      </c>
      <c r="C97" s="1" t="s">
        <v>26</v>
      </c>
      <c r="D97" s="1" t="s">
        <v>42</v>
      </c>
      <c r="E97" s="1" t="s">
        <v>24</v>
      </c>
      <c r="F97" s="1" t="s">
        <v>20</v>
      </c>
      <c r="G97" s="2">
        <v>45022</v>
      </c>
      <c r="H97" s="3">
        <v>22</v>
      </c>
      <c r="I97" s="3">
        <v>474.55</v>
      </c>
      <c r="J97" s="3">
        <v>273.02999999999997</v>
      </c>
    </row>
    <row r="98" spans="1:10" ht="15" thickBot="1" x14ac:dyDescent="0.35">
      <c r="A98" s="1" t="s">
        <v>125</v>
      </c>
      <c r="B98" s="1" t="s">
        <v>48</v>
      </c>
      <c r="C98" s="1" t="s">
        <v>18</v>
      </c>
      <c r="D98" s="1" t="s">
        <v>23</v>
      </c>
      <c r="E98" s="1" t="s">
        <v>14</v>
      </c>
      <c r="F98" s="1" t="s">
        <v>28</v>
      </c>
      <c r="G98" s="2">
        <v>45023</v>
      </c>
      <c r="H98" s="3">
        <v>55</v>
      </c>
      <c r="I98" s="3">
        <v>130</v>
      </c>
      <c r="J98" s="3">
        <v>77.5</v>
      </c>
    </row>
    <row r="99" spans="1:10" ht="15" thickBot="1" x14ac:dyDescent="0.35">
      <c r="A99" s="1" t="s">
        <v>126</v>
      </c>
      <c r="B99" s="1" t="s">
        <v>17</v>
      </c>
      <c r="C99" s="1" t="s">
        <v>26</v>
      </c>
      <c r="D99" s="1" t="s">
        <v>23</v>
      </c>
      <c r="E99" s="1" t="s">
        <v>14</v>
      </c>
      <c r="F99" s="1" t="s">
        <v>15</v>
      </c>
      <c r="G99" s="2">
        <v>45024</v>
      </c>
      <c r="H99" s="3">
        <v>164</v>
      </c>
      <c r="I99" s="3">
        <v>182.83</v>
      </c>
      <c r="J99" s="3">
        <v>248.34</v>
      </c>
    </row>
    <row r="100" spans="1:10" ht="15" thickBot="1" x14ac:dyDescent="0.35">
      <c r="A100" s="1" t="s">
        <v>127</v>
      </c>
      <c r="B100" s="1" t="s">
        <v>48</v>
      </c>
      <c r="C100" s="1" t="s">
        <v>26</v>
      </c>
      <c r="D100" s="1" t="s">
        <v>42</v>
      </c>
      <c r="E100" s="1" t="s">
        <v>14</v>
      </c>
      <c r="F100" s="1" t="s">
        <v>15</v>
      </c>
      <c r="G100" s="2">
        <v>45025</v>
      </c>
      <c r="H100" s="3">
        <v>122</v>
      </c>
      <c r="I100" s="3">
        <v>192.78</v>
      </c>
      <c r="J100" s="3">
        <v>130.75</v>
      </c>
    </row>
    <row r="101" spans="1:10" ht="15" thickBot="1" x14ac:dyDescent="0.35">
      <c r="A101" s="1" t="s">
        <v>128</v>
      </c>
      <c r="B101" s="1" t="s">
        <v>22</v>
      </c>
      <c r="C101" s="1" t="s">
        <v>31</v>
      </c>
      <c r="D101" s="1" t="s">
        <v>13</v>
      </c>
      <c r="E101" s="1" t="s">
        <v>24</v>
      </c>
      <c r="F101" s="1" t="s">
        <v>20</v>
      </c>
      <c r="G101" s="2">
        <v>45026</v>
      </c>
      <c r="H101" s="3">
        <v>242</v>
      </c>
      <c r="I101" s="3">
        <v>304.74</v>
      </c>
      <c r="J101" s="3">
        <v>334.05</v>
      </c>
    </row>
    <row r="102" spans="1:10" ht="15" thickBot="1" x14ac:dyDescent="0.35">
      <c r="A102" s="1" t="s">
        <v>129</v>
      </c>
      <c r="B102" s="1" t="s">
        <v>11</v>
      </c>
      <c r="C102" s="1" t="s">
        <v>26</v>
      </c>
      <c r="D102" s="1" t="s">
        <v>42</v>
      </c>
      <c r="E102" s="1" t="s">
        <v>24</v>
      </c>
      <c r="F102" s="1" t="s">
        <v>20</v>
      </c>
      <c r="G102" s="2">
        <v>45027</v>
      </c>
      <c r="H102" s="3">
        <v>26</v>
      </c>
      <c r="I102" s="3">
        <v>181.58</v>
      </c>
      <c r="J102" s="3">
        <v>252.46</v>
      </c>
    </row>
    <row r="103" spans="1:10" ht="15" thickBot="1" x14ac:dyDescent="0.35">
      <c r="A103" s="1" t="s">
        <v>130</v>
      </c>
      <c r="B103" s="1" t="s">
        <v>48</v>
      </c>
      <c r="C103" s="1" t="s">
        <v>26</v>
      </c>
      <c r="D103" s="1" t="s">
        <v>27</v>
      </c>
      <c r="E103" s="1" t="s">
        <v>14</v>
      </c>
      <c r="F103" s="1" t="s">
        <v>15</v>
      </c>
      <c r="G103" s="2">
        <v>45028</v>
      </c>
      <c r="H103" s="3">
        <v>369</v>
      </c>
      <c r="I103" s="3">
        <v>269.08999999999997</v>
      </c>
      <c r="J103" s="3">
        <v>81.14</v>
      </c>
    </row>
    <row r="104" spans="1:10" ht="15" thickBot="1" x14ac:dyDescent="0.35">
      <c r="A104" s="1" t="s">
        <v>131</v>
      </c>
      <c r="B104" s="1" t="s">
        <v>48</v>
      </c>
      <c r="C104" s="1" t="s">
        <v>31</v>
      </c>
      <c r="D104" s="1" t="s">
        <v>42</v>
      </c>
      <c r="E104" s="1" t="s">
        <v>24</v>
      </c>
      <c r="F104" s="1" t="s">
        <v>20</v>
      </c>
      <c r="G104" s="2">
        <v>45029</v>
      </c>
      <c r="H104" s="3">
        <v>232</v>
      </c>
      <c r="I104" s="3">
        <v>391.99</v>
      </c>
      <c r="J104" s="3">
        <v>27.72</v>
      </c>
    </row>
    <row r="105" spans="1:10" ht="15" thickBot="1" x14ac:dyDescent="0.35">
      <c r="A105" s="1" t="s">
        <v>132</v>
      </c>
      <c r="B105" s="1" t="s">
        <v>17</v>
      </c>
      <c r="C105" s="1" t="s">
        <v>26</v>
      </c>
      <c r="D105" s="1" t="s">
        <v>23</v>
      </c>
      <c r="E105" s="1" t="s">
        <v>14</v>
      </c>
      <c r="F105" s="1" t="s">
        <v>20</v>
      </c>
      <c r="G105" s="2">
        <v>45030</v>
      </c>
      <c r="H105" s="3">
        <v>363</v>
      </c>
      <c r="I105" s="3">
        <v>354.17</v>
      </c>
      <c r="J105" s="3">
        <v>18.97</v>
      </c>
    </row>
    <row r="106" spans="1:10" ht="15" thickBot="1" x14ac:dyDescent="0.35">
      <c r="A106" s="1" t="s">
        <v>133</v>
      </c>
      <c r="B106" s="1" t="s">
        <v>48</v>
      </c>
      <c r="C106" s="1" t="s">
        <v>26</v>
      </c>
      <c r="D106" s="1" t="s">
        <v>42</v>
      </c>
      <c r="E106" s="1" t="s">
        <v>14</v>
      </c>
      <c r="F106" s="1" t="s">
        <v>20</v>
      </c>
      <c r="G106" s="2">
        <v>45031</v>
      </c>
      <c r="H106" s="3">
        <v>197</v>
      </c>
      <c r="I106" s="3">
        <v>225.95</v>
      </c>
      <c r="J106" s="3">
        <v>149.82</v>
      </c>
    </row>
    <row r="107" spans="1:10" ht="15" thickBot="1" x14ac:dyDescent="0.35">
      <c r="A107" s="1" t="s">
        <v>134</v>
      </c>
      <c r="B107" s="1" t="s">
        <v>48</v>
      </c>
      <c r="C107" s="1" t="s">
        <v>26</v>
      </c>
      <c r="D107" s="1" t="s">
        <v>13</v>
      </c>
      <c r="E107" s="1" t="s">
        <v>14</v>
      </c>
      <c r="F107" s="1" t="s">
        <v>28</v>
      </c>
      <c r="G107" s="2">
        <v>45032</v>
      </c>
      <c r="H107" s="3">
        <v>457</v>
      </c>
      <c r="I107" s="3">
        <v>432.79</v>
      </c>
      <c r="J107" s="3">
        <v>107.81</v>
      </c>
    </row>
    <row r="108" spans="1:10" ht="15" thickBot="1" x14ac:dyDescent="0.35">
      <c r="A108" s="1" t="s">
        <v>135</v>
      </c>
      <c r="B108" s="1" t="s">
        <v>48</v>
      </c>
      <c r="C108" s="1" t="s">
        <v>18</v>
      </c>
      <c r="D108" s="1" t="s">
        <v>19</v>
      </c>
      <c r="E108" s="1" t="s">
        <v>14</v>
      </c>
      <c r="F108" s="1" t="s">
        <v>28</v>
      </c>
      <c r="G108" s="2">
        <v>45033</v>
      </c>
      <c r="H108" s="3">
        <v>353</v>
      </c>
      <c r="I108" s="3">
        <v>281.27999999999997</v>
      </c>
      <c r="J108" s="3">
        <v>259.14</v>
      </c>
    </row>
    <row r="109" spans="1:10" ht="15" thickBot="1" x14ac:dyDescent="0.35">
      <c r="A109" s="1" t="s">
        <v>136</v>
      </c>
      <c r="B109" s="1" t="s">
        <v>17</v>
      </c>
      <c r="C109" s="1" t="s">
        <v>18</v>
      </c>
      <c r="D109" s="1" t="s">
        <v>42</v>
      </c>
      <c r="E109" s="1" t="s">
        <v>24</v>
      </c>
      <c r="F109" s="1" t="s">
        <v>20</v>
      </c>
      <c r="G109" s="2">
        <v>45034</v>
      </c>
      <c r="H109" s="3">
        <v>374</v>
      </c>
      <c r="I109" s="3">
        <v>272.25</v>
      </c>
      <c r="J109" s="3">
        <v>200.73</v>
      </c>
    </row>
    <row r="110" spans="1:10" ht="15" thickBot="1" x14ac:dyDescent="0.35">
      <c r="A110" s="1" t="s">
        <v>137</v>
      </c>
      <c r="B110" s="1" t="s">
        <v>48</v>
      </c>
      <c r="C110" s="1" t="s">
        <v>18</v>
      </c>
      <c r="D110" s="1" t="s">
        <v>13</v>
      </c>
      <c r="E110" s="1" t="s">
        <v>24</v>
      </c>
      <c r="F110" s="1" t="s">
        <v>20</v>
      </c>
      <c r="G110" s="2">
        <v>45035</v>
      </c>
      <c r="H110" s="3">
        <v>172</v>
      </c>
      <c r="I110" s="3">
        <v>21.92</v>
      </c>
      <c r="J110" s="3">
        <v>107.88</v>
      </c>
    </row>
    <row r="111" spans="1:10" ht="15" thickBot="1" x14ac:dyDescent="0.35">
      <c r="A111" s="1" t="s">
        <v>138</v>
      </c>
      <c r="B111" s="1" t="s">
        <v>11</v>
      </c>
      <c r="C111" s="1" t="s">
        <v>31</v>
      </c>
      <c r="D111" s="1" t="s">
        <v>13</v>
      </c>
      <c r="E111" s="1" t="s">
        <v>24</v>
      </c>
      <c r="F111" s="1" t="s">
        <v>28</v>
      </c>
      <c r="G111" s="2">
        <v>45036</v>
      </c>
      <c r="H111" s="3">
        <v>335</v>
      </c>
      <c r="I111" s="3">
        <v>493.41</v>
      </c>
      <c r="J111" s="3">
        <v>61.4</v>
      </c>
    </row>
    <row r="112" spans="1:10" ht="15" thickBot="1" x14ac:dyDescent="0.35">
      <c r="A112" s="1" t="s">
        <v>139</v>
      </c>
      <c r="B112" s="1" t="s">
        <v>17</v>
      </c>
      <c r="C112" s="1" t="s">
        <v>50</v>
      </c>
      <c r="D112" s="1" t="s">
        <v>23</v>
      </c>
      <c r="E112" s="1" t="s">
        <v>14</v>
      </c>
      <c r="F112" s="1" t="s">
        <v>28</v>
      </c>
      <c r="G112" s="2">
        <v>45037</v>
      </c>
      <c r="H112" s="3">
        <v>476</v>
      </c>
      <c r="I112" s="3">
        <v>65.87</v>
      </c>
      <c r="J112" s="3">
        <v>52.63</v>
      </c>
    </row>
    <row r="113" spans="1:10" ht="15" thickBot="1" x14ac:dyDescent="0.35">
      <c r="A113" s="1" t="s">
        <v>140</v>
      </c>
      <c r="B113" s="1" t="s">
        <v>11</v>
      </c>
      <c r="C113" s="1" t="s">
        <v>26</v>
      </c>
      <c r="D113" s="1" t="s">
        <v>13</v>
      </c>
      <c r="E113" s="1" t="s">
        <v>14</v>
      </c>
      <c r="F113" s="1" t="s">
        <v>15</v>
      </c>
      <c r="G113" s="2">
        <v>45038</v>
      </c>
      <c r="H113" s="3">
        <v>423</v>
      </c>
      <c r="I113" s="3">
        <v>119.41</v>
      </c>
      <c r="J113" s="3">
        <v>346.13</v>
      </c>
    </row>
    <row r="114" spans="1:10" ht="15" thickBot="1" x14ac:dyDescent="0.35">
      <c r="A114" s="1" t="s">
        <v>141</v>
      </c>
      <c r="B114" s="1" t="s">
        <v>17</v>
      </c>
      <c r="C114" s="1" t="s">
        <v>26</v>
      </c>
      <c r="D114" s="1" t="s">
        <v>13</v>
      </c>
      <c r="E114" s="1" t="s">
        <v>14</v>
      </c>
      <c r="F114" s="1" t="s">
        <v>15</v>
      </c>
      <c r="G114" s="2">
        <v>45039</v>
      </c>
      <c r="H114" s="3">
        <v>464</v>
      </c>
      <c r="I114" s="3">
        <v>30.59</v>
      </c>
      <c r="J114" s="3">
        <v>98.9</v>
      </c>
    </row>
    <row r="115" spans="1:10" ht="15" thickBot="1" x14ac:dyDescent="0.35">
      <c r="A115" s="1" t="s">
        <v>142</v>
      </c>
      <c r="B115" s="1" t="s">
        <v>48</v>
      </c>
      <c r="C115" s="1" t="s">
        <v>31</v>
      </c>
      <c r="D115" s="1" t="s">
        <v>13</v>
      </c>
      <c r="E115" s="1" t="s">
        <v>24</v>
      </c>
      <c r="F115" s="1" t="s">
        <v>28</v>
      </c>
      <c r="G115" s="2">
        <v>45040</v>
      </c>
      <c r="H115" s="3">
        <v>83</v>
      </c>
      <c r="I115" s="3">
        <v>321.8</v>
      </c>
      <c r="J115" s="3">
        <v>261.38</v>
      </c>
    </row>
    <row r="116" spans="1:10" ht="15" thickBot="1" x14ac:dyDescent="0.35">
      <c r="A116" s="1" t="s">
        <v>143</v>
      </c>
      <c r="B116" s="1" t="s">
        <v>11</v>
      </c>
      <c r="C116" s="1" t="s">
        <v>26</v>
      </c>
      <c r="D116" s="1" t="s">
        <v>13</v>
      </c>
      <c r="E116" s="1" t="s">
        <v>14</v>
      </c>
      <c r="F116" s="1" t="s">
        <v>20</v>
      </c>
      <c r="G116" s="2">
        <v>45041</v>
      </c>
      <c r="H116" s="3">
        <v>242</v>
      </c>
      <c r="I116" s="3">
        <v>116.23</v>
      </c>
      <c r="J116" s="3">
        <v>324.64999999999998</v>
      </c>
    </row>
    <row r="117" spans="1:10" ht="15" thickBot="1" x14ac:dyDescent="0.35">
      <c r="A117" s="1" t="s">
        <v>144</v>
      </c>
      <c r="B117" s="1" t="s">
        <v>17</v>
      </c>
      <c r="C117" s="1" t="s">
        <v>18</v>
      </c>
      <c r="D117" s="1" t="s">
        <v>27</v>
      </c>
      <c r="E117" s="1" t="s">
        <v>24</v>
      </c>
      <c r="F117" s="1" t="s">
        <v>20</v>
      </c>
      <c r="G117" s="2">
        <v>45042</v>
      </c>
      <c r="H117" s="3">
        <v>233</v>
      </c>
      <c r="I117" s="3">
        <v>94.11</v>
      </c>
      <c r="J117" s="3">
        <v>246.4</v>
      </c>
    </row>
    <row r="118" spans="1:10" ht="15" thickBot="1" x14ac:dyDescent="0.35">
      <c r="A118" s="1" t="s">
        <v>145</v>
      </c>
      <c r="B118" s="1" t="s">
        <v>22</v>
      </c>
      <c r="C118" s="1" t="s">
        <v>50</v>
      </c>
      <c r="D118" s="1" t="s">
        <v>27</v>
      </c>
      <c r="E118" s="1" t="s">
        <v>24</v>
      </c>
      <c r="F118" s="1" t="s">
        <v>20</v>
      </c>
      <c r="G118" s="2">
        <v>45043</v>
      </c>
      <c r="H118" s="3">
        <v>491</v>
      </c>
      <c r="I118" s="3">
        <v>48.84</v>
      </c>
      <c r="J118" s="3">
        <v>344.11</v>
      </c>
    </row>
    <row r="119" spans="1:10" ht="15" thickBot="1" x14ac:dyDescent="0.35">
      <c r="A119" s="1" t="s">
        <v>146</v>
      </c>
      <c r="B119" s="1"/>
      <c r="C119" s="1" t="s">
        <v>12</v>
      </c>
      <c r="D119" s="1" t="s">
        <v>23</v>
      </c>
      <c r="E119" s="1" t="s">
        <v>24</v>
      </c>
      <c r="F119" s="1" t="s">
        <v>20</v>
      </c>
      <c r="G119" s="2">
        <v>45044</v>
      </c>
      <c r="H119" s="3">
        <v>328</v>
      </c>
      <c r="I119" s="3">
        <v>56.14</v>
      </c>
      <c r="J119" s="3">
        <v>158.16999999999999</v>
      </c>
    </row>
    <row r="120" spans="1:10" ht="15" thickBot="1" x14ac:dyDescent="0.35">
      <c r="A120" s="1" t="s">
        <v>147</v>
      </c>
      <c r="B120" s="1" t="s">
        <v>17</v>
      </c>
      <c r="C120" s="1" t="s">
        <v>26</v>
      </c>
      <c r="D120" s="1" t="s">
        <v>42</v>
      </c>
      <c r="E120" s="1" t="s">
        <v>24</v>
      </c>
      <c r="F120" s="1" t="s">
        <v>15</v>
      </c>
      <c r="G120" s="2">
        <v>45045</v>
      </c>
      <c r="H120" s="3">
        <v>421</v>
      </c>
      <c r="I120" s="3">
        <v>294.41000000000003</v>
      </c>
      <c r="J120" s="3">
        <v>382.58</v>
      </c>
    </row>
    <row r="121" spans="1:10" ht="15" thickBot="1" x14ac:dyDescent="0.35">
      <c r="A121" s="1" t="s">
        <v>148</v>
      </c>
      <c r="B121" s="1" t="s">
        <v>22</v>
      </c>
      <c r="C121" s="1" t="s">
        <v>18</v>
      </c>
      <c r="D121" s="1" t="s">
        <v>13</v>
      </c>
      <c r="E121" s="1" t="s">
        <v>24</v>
      </c>
      <c r="F121" s="1" t="s">
        <v>28</v>
      </c>
      <c r="G121" s="2">
        <v>45046</v>
      </c>
      <c r="H121" s="3">
        <v>69</v>
      </c>
      <c r="I121" s="3">
        <v>345.66</v>
      </c>
      <c r="J121" s="3">
        <v>54.99</v>
      </c>
    </row>
    <row r="122" spans="1:10" ht="15" thickBot="1" x14ac:dyDescent="0.35">
      <c r="A122" s="1" t="s">
        <v>149</v>
      </c>
      <c r="B122" s="1" t="s">
        <v>17</v>
      </c>
      <c r="C122" s="1" t="s">
        <v>12</v>
      </c>
      <c r="D122" s="1" t="s">
        <v>42</v>
      </c>
      <c r="E122" s="1" t="s">
        <v>24</v>
      </c>
      <c r="F122" s="1" t="s">
        <v>20</v>
      </c>
      <c r="G122" s="2">
        <v>45047</v>
      </c>
      <c r="H122" s="3">
        <v>344</v>
      </c>
      <c r="I122" s="3">
        <v>201.7</v>
      </c>
      <c r="J122" s="3">
        <v>42.66</v>
      </c>
    </row>
    <row r="123" spans="1:10" ht="15" thickBot="1" x14ac:dyDescent="0.35">
      <c r="A123" s="1" t="s">
        <v>150</v>
      </c>
      <c r="B123" s="1"/>
      <c r="C123" s="1" t="s">
        <v>50</v>
      </c>
      <c r="D123" s="1" t="s">
        <v>42</v>
      </c>
      <c r="E123" s="1" t="s">
        <v>14</v>
      </c>
      <c r="F123" s="1" t="s">
        <v>15</v>
      </c>
      <c r="G123" s="2">
        <v>45048</v>
      </c>
      <c r="H123" s="3">
        <v>231</v>
      </c>
      <c r="I123" s="3">
        <v>242.55</v>
      </c>
      <c r="J123" s="3">
        <v>264.16000000000003</v>
      </c>
    </row>
    <row r="124" spans="1:10" ht="15" thickBot="1" x14ac:dyDescent="0.35">
      <c r="A124" s="1" t="s">
        <v>151</v>
      </c>
      <c r="B124" s="1" t="s">
        <v>48</v>
      </c>
      <c r="C124" s="1" t="s">
        <v>12</v>
      </c>
      <c r="D124" s="1" t="s">
        <v>23</v>
      </c>
      <c r="E124" s="1" t="s">
        <v>14</v>
      </c>
      <c r="F124" s="1" t="s">
        <v>20</v>
      </c>
      <c r="G124" s="2">
        <v>45049</v>
      </c>
      <c r="H124" s="3">
        <v>46</v>
      </c>
      <c r="I124" s="3">
        <v>344.55</v>
      </c>
      <c r="J124" s="3">
        <v>377.25</v>
      </c>
    </row>
    <row r="125" spans="1:10" ht="15" thickBot="1" x14ac:dyDescent="0.35">
      <c r="A125" s="1" t="s">
        <v>152</v>
      </c>
      <c r="B125" s="1" t="s">
        <v>11</v>
      </c>
      <c r="C125" s="1" t="s">
        <v>18</v>
      </c>
      <c r="D125" s="1" t="s">
        <v>13</v>
      </c>
      <c r="E125" s="1" t="s">
        <v>24</v>
      </c>
      <c r="F125" s="1" t="s">
        <v>28</v>
      </c>
      <c r="G125" s="2">
        <v>45050</v>
      </c>
      <c r="H125" s="3">
        <v>486</v>
      </c>
      <c r="I125" s="3">
        <v>13.6</v>
      </c>
      <c r="J125" s="3">
        <v>323.94</v>
      </c>
    </row>
    <row r="126" spans="1:10" ht="15" thickBot="1" x14ac:dyDescent="0.35">
      <c r="A126" s="1" t="s">
        <v>153</v>
      </c>
      <c r="B126" s="1" t="s">
        <v>22</v>
      </c>
      <c r="C126" s="1" t="s">
        <v>12</v>
      </c>
      <c r="D126" s="1" t="s">
        <v>13</v>
      </c>
      <c r="E126" s="1" t="s">
        <v>24</v>
      </c>
      <c r="F126" s="1" t="s">
        <v>15</v>
      </c>
      <c r="G126" s="2">
        <v>45051</v>
      </c>
      <c r="H126" s="3">
        <v>287</v>
      </c>
      <c r="I126" s="3">
        <v>164.95</v>
      </c>
      <c r="J126" s="3">
        <v>32.409999999999997</v>
      </c>
    </row>
    <row r="127" spans="1:10" ht="15" thickBot="1" x14ac:dyDescent="0.35">
      <c r="A127" s="1" t="s">
        <v>154</v>
      </c>
      <c r="B127" s="1" t="s">
        <v>17</v>
      </c>
      <c r="C127" s="1" t="s">
        <v>31</v>
      </c>
      <c r="D127" s="1" t="s">
        <v>19</v>
      </c>
      <c r="E127" s="1" t="s">
        <v>14</v>
      </c>
      <c r="F127" s="1" t="s">
        <v>28</v>
      </c>
      <c r="G127" s="2">
        <v>45052</v>
      </c>
      <c r="H127" s="3">
        <v>205</v>
      </c>
      <c r="I127" s="3">
        <v>486.68</v>
      </c>
      <c r="J127" s="3">
        <v>113.19</v>
      </c>
    </row>
    <row r="128" spans="1:10" ht="15" thickBot="1" x14ac:dyDescent="0.35">
      <c r="A128" s="1" t="s">
        <v>155</v>
      </c>
      <c r="B128" s="1" t="s">
        <v>48</v>
      </c>
      <c r="C128" s="1" t="s">
        <v>12</v>
      </c>
      <c r="D128" s="1" t="s">
        <v>42</v>
      </c>
      <c r="E128" s="1" t="s">
        <v>24</v>
      </c>
      <c r="F128" s="1" t="s">
        <v>28</v>
      </c>
      <c r="G128" s="2">
        <v>45053</v>
      </c>
      <c r="H128" s="3">
        <v>413</v>
      </c>
      <c r="I128" s="3">
        <v>292.16000000000003</v>
      </c>
      <c r="J128" s="3">
        <v>372.27</v>
      </c>
    </row>
    <row r="129" spans="1:10" ht="15" thickBot="1" x14ac:dyDescent="0.35">
      <c r="A129" s="1" t="s">
        <v>156</v>
      </c>
      <c r="B129" s="1" t="s">
        <v>22</v>
      </c>
      <c r="C129" s="1" t="s">
        <v>26</v>
      </c>
      <c r="D129" s="1" t="s">
        <v>42</v>
      </c>
      <c r="E129" s="1" t="s">
        <v>24</v>
      </c>
      <c r="F129" s="1" t="s">
        <v>15</v>
      </c>
      <c r="G129" s="2">
        <v>45054</v>
      </c>
      <c r="H129" s="3">
        <v>361</v>
      </c>
      <c r="I129" s="3">
        <v>130.84</v>
      </c>
      <c r="J129" s="3">
        <v>102.72</v>
      </c>
    </row>
    <row r="130" spans="1:10" ht="15" thickBot="1" x14ac:dyDescent="0.35">
      <c r="A130" s="1" t="s">
        <v>157</v>
      </c>
      <c r="B130" s="1" t="s">
        <v>17</v>
      </c>
      <c r="C130" s="1" t="s">
        <v>26</v>
      </c>
      <c r="D130" s="1" t="s">
        <v>27</v>
      </c>
      <c r="E130" s="1" t="s">
        <v>14</v>
      </c>
      <c r="F130" s="1" t="s">
        <v>15</v>
      </c>
      <c r="G130" s="2">
        <v>45055</v>
      </c>
      <c r="H130" s="3">
        <v>493</v>
      </c>
      <c r="I130" s="3">
        <v>263.26</v>
      </c>
      <c r="J130" s="3">
        <v>312.91000000000003</v>
      </c>
    </row>
    <row r="131" spans="1:10" ht="15" thickBot="1" x14ac:dyDescent="0.35">
      <c r="A131" s="1" t="s">
        <v>158</v>
      </c>
      <c r="B131" s="1" t="s">
        <v>17</v>
      </c>
      <c r="C131" s="1" t="s">
        <v>31</v>
      </c>
      <c r="D131" s="1" t="s">
        <v>19</v>
      </c>
      <c r="E131" s="1" t="s">
        <v>24</v>
      </c>
      <c r="F131" s="1" t="s">
        <v>15</v>
      </c>
      <c r="G131" s="2">
        <v>45056</v>
      </c>
      <c r="H131" s="3">
        <v>251</v>
      </c>
      <c r="I131" s="3">
        <v>174.61</v>
      </c>
      <c r="J131" s="3">
        <v>330.4</v>
      </c>
    </row>
    <row r="132" spans="1:10" ht="15" thickBot="1" x14ac:dyDescent="0.35">
      <c r="A132" s="1" t="s">
        <v>159</v>
      </c>
      <c r="B132" s="1" t="s">
        <v>17</v>
      </c>
      <c r="C132" s="1" t="s">
        <v>18</v>
      </c>
      <c r="D132" s="1" t="s">
        <v>27</v>
      </c>
      <c r="E132" s="1" t="s">
        <v>24</v>
      </c>
      <c r="F132" s="1" t="s">
        <v>15</v>
      </c>
      <c r="G132" s="2">
        <v>45057</v>
      </c>
      <c r="H132" s="1"/>
      <c r="I132" s="3">
        <v>268.45999999999998</v>
      </c>
      <c r="J132" s="3">
        <v>199.19</v>
      </c>
    </row>
    <row r="133" spans="1:10" ht="15" thickBot="1" x14ac:dyDescent="0.35">
      <c r="A133" s="1" t="s">
        <v>160</v>
      </c>
      <c r="B133" s="1" t="s">
        <v>22</v>
      </c>
      <c r="C133" s="1" t="s">
        <v>26</v>
      </c>
      <c r="D133" s="1" t="s">
        <v>27</v>
      </c>
      <c r="E133" s="1" t="s">
        <v>24</v>
      </c>
      <c r="F133" s="1" t="s">
        <v>15</v>
      </c>
      <c r="G133" s="2">
        <v>45058</v>
      </c>
      <c r="H133" s="3">
        <v>228</v>
      </c>
      <c r="I133" s="3">
        <v>67.239999999999995</v>
      </c>
      <c r="J133" s="3">
        <v>155.77000000000001</v>
      </c>
    </row>
    <row r="134" spans="1:10" ht="15" thickBot="1" x14ac:dyDescent="0.35">
      <c r="A134" s="1" t="s">
        <v>161</v>
      </c>
      <c r="B134" s="1" t="s">
        <v>22</v>
      </c>
      <c r="C134" s="1" t="s">
        <v>50</v>
      </c>
      <c r="D134" s="1" t="s">
        <v>27</v>
      </c>
      <c r="E134" s="1" t="s">
        <v>14</v>
      </c>
      <c r="F134" s="1" t="s">
        <v>15</v>
      </c>
      <c r="G134" s="2">
        <v>45059</v>
      </c>
      <c r="H134" s="3">
        <v>201</v>
      </c>
      <c r="I134" s="3">
        <v>70.69</v>
      </c>
      <c r="J134" s="3">
        <v>181.15</v>
      </c>
    </row>
    <row r="135" spans="1:10" ht="15" thickBot="1" x14ac:dyDescent="0.35">
      <c r="A135" s="1" t="s">
        <v>162</v>
      </c>
      <c r="B135" s="1" t="s">
        <v>22</v>
      </c>
      <c r="C135" s="1" t="s">
        <v>26</v>
      </c>
      <c r="D135" s="1" t="s">
        <v>23</v>
      </c>
      <c r="E135" s="1" t="s">
        <v>14</v>
      </c>
      <c r="F135" s="1" t="s">
        <v>15</v>
      </c>
      <c r="G135" s="2">
        <v>45060</v>
      </c>
      <c r="H135" s="3">
        <v>26</v>
      </c>
      <c r="I135" s="3">
        <v>76.05</v>
      </c>
      <c r="J135" s="3">
        <v>92.33</v>
      </c>
    </row>
    <row r="136" spans="1:10" ht="15" thickBot="1" x14ac:dyDescent="0.35">
      <c r="A136" s="1" t="s">
        <v>163</v>
      </c>
      <c r="B136" s="1" t="s">
        <v>11</v>
      </c>
      <c r="C136" s="1" t="s">
        <v>26</v>
      </c>
      <c r="D136" s="1" t="s">
        <v>23</v>
      </c>
      <c r="E136" s="1" t="s">
        <v>14</v>
      </c>
      <c r="F136" s="1" t="s">
        <v>20</v>
      </c>
      <c r="G136" s="2">
        <v>45061</v>
      </c>
      <c r="H136" s="3">
        <v>21</v>
      </c>
      <c r="I136" s="3">
        <v>470.21</v>
      </c>
      <c r="J136" s="3">
        <v>355.98</v>
      </c>
    </row>
    <row r="137" spans="1:10" ht="15" thickBot="1" x14ac:dyDescent="0.35">
      <c r="A137" s="1" t="s">
        <v>164</v>
      </c>
      <c r="B137" s="1" t="s">
        <v>22</v>
      </c>
      <c r="C137" s="1" t="s">
        <v>18</v>
      </c>
      <c r="D137" s="1" t="s">
        <v>27</v>
      </c>
      <c r="E137" s="1" t="s">
        <v>24</v>
      </c>
      <c r="F137" s="1" t="s">
        <v>28</v>
      </c>
      <c r="G137" s="2">
        <v>45062</v>
      </c>
      <c r="H137" s="3">
        <v>415</v>
      </c>
      <c r="I137" s="3">
        <v>367.78</v>
      </c>
      <c r="J137" s="3">
        <v>181.35</v>
      </c>
    </row>
    <row r="138" spans="1:10" ht="15" thickBot="1" x14ac:dyDescent="0.35">
      <c r="A138" s="1" t="s">
        <v>165</v>
      </c>
      <c r="B138" s="1" t="s">
        <v>22</v>
      </c>
      <c r="C138" s="1" t="s">
        <v>12</v>
      </c>
      <c r="D138" s="1" t="s">
        <v>19</v>
      </c>
      <c r="E138" s="1" t="s">
        <v>24</v>
      </c>
      <c r="F138" s="1" t="s">
        <v>15</v>
      </c>
      <c r="G138" s="2">
        <v>45063</v>
      </c>
      <c r="H138" s="3">
        <v>410</v>
      </c>
      <c r="I138" s="3">
        <v>85.38</v>
      </c>
      <c r="J138" s="3">
        <v>353.22</v>
      </c>
    </row>
    <row r="139" spans="1:10" ht="15" thickBot="1" x14ac:dyDescent="0.35">
      <c r="A139" s="1" t="s">
        <v>166</v>
      </c>
      <c r="B139" s="1" t="s">
        <v>22</v>
      </c>
      <c r="C139" s="1" t="s">
        <v>26</v>
      </c>
      <c r="D139" s="1" t="s">
        <v>42</v>
      </c>
      <c r="E139" s="1" t="s">
        <v>14</v>
      </c>
      <c r="F139" s="1" t="s">
        <v>20</v>
      </c>
      <c r="G139" s="2">
        <v>45064</v>
      </c>
      <c r="H139" s="3">
        <v>403</v>
      </c>
      <c r="I139" s="3">
        <v>98.23</v>
      </c>
      <c r="J139" s="3">
        <v>44.07</v>
      </c>
    </row>
    <row r="140" spans="1:10" ht="15" thickBot="1" x14ac:dyDescent="0.35">
      <c r="A140" s="1" t="s">
        <v>167</v>
      </c>
      <c r="B140" s="1" t="s">
        <v>11</v>
      </c>
      <c r="C140" s="1" t="s">
        <v>31</v>
      </c>
      <c r="D140" s="1" t="s">
        <v>19</v>
      </c>
      <c r="E140" s="1" t="s">
        <v>24</v>
      </c>
      <c r="F140" s="1" t="s">
        <v>20</v>
      </c>
      <c r="G140" s="2">
        <v>45065</v>
      </c>
      <c r="H140" s="3">
        <v>383</v>
      </c>
      <c r="I140" s="3">
        <v>366.76</v>
      </c>
      <c r="J140" s="3">
        <v>395.33</v>
      </c>
    </row>
    <row r="141" spans="1:10" ht="15" thickBot="1" x14ac:dyDescent="0.35">
      <c r="A141" s="1" t="s">
        <v>168</v>
      </c>
      <c r="B141" s="1" t="s">
        <v>22</v>
      </c>
      <c r="C141" s="1" t="s">
        <v>12</v>
      </c>
      <c r="D141" s="1" t="s">
        <v>13</v>
      </c>
      <c r="E141" s="1" t="s">
        <v>24</v>
      </c>
      <c r="F141" s="1" t="s">
        <v>20</v>
      </c>
      <c r="G141" s="2">
        <v>45066</v>
      </c>
      <c r="H141" s="3">
        <v>202</v>
      </c>
      <c r="I141" s="3">
        <v>82.3</v>
      </c>
      <c r="J141" s="3">
        <v>178.42</v>
      </c>
    </row>
    <row r="142" spans="1:10" ht="15" thickBot="1" x14ac:dyDescent="0.35">
      <c r="A142" s="1" t="s">
        <v>169</v>
      </c>
      <c r="B142" s="1" t="s">
        <v>17</v>
      </c>
      <c r="C142" s="1" t="s">
        <v>50</v>
      </c>
      <c r="D142" s="1" t="s">
        <v>23</v>
      </c>
      <c r="E142" s="1" t="s">
        <v>24</v>
      </c>
      <c r="F142" s="1" t="s">
        <v>28</v>
      </c>
      <c r="G142" s="2">
        <v>45067</v>
      </c>
      <c r="H142" s="3">
        <v>31</v>
      </c>
      <c r="I142" s="3">
        <v>121.11</v>
      </c>
      <c r="J142" s="3">
        <v>21.04</v>
      </c>
    </row>
    <row r="143" spans="1:10" ht="15" thickBot="1" x14ac:dyDescent="0.35">
      <c r="A143" s="1" t="s">
        <v>170</v>
      </c>
      <c r="B143" s="1" t="s">
        <v>22</v>
      </c>
      <c r="C143" s="1" t="s">
        <v>18</v>
      </c>
      <c r="D143" s="1" t="s">
        <v>42</v>
      </c>
      <c r="E143" s="1" t="s">
        <v>24</v>
      </c>
      <c r="F143" s="1" t="s">
        <v>15</v>
      </c>
      <c r="G143" s="2">
        <v>45068</v>
      </c>
      <c r="H143" s="3">
        <v>483</v>
      </c>
      <c r="I143" s="3">
        <v>481.86</v>
      </c>
      <c r="J143" s="3">
        <v>17.13</v>
      </c>
    </row>
    <row r="144" spans="1:10" ht="15" thickBot="1" x14ac:dyDescent="0.35">
      <c r="A144" s="1" t="s">
        <v>171</v>
      </c>
      <c r="B144" s="1" t="s">
        <v>17</v>
      </c>
      <c r="C144" s="1" t="s">
        <v>50</v>
      </c>
      <c r="D144" s="1" t="s">
        <v>42</v>
      </c>
      <c r="E144" s="1" t="s">
        <v>24</v>
      </c>
      <c r="F144" s="1" t="s">
        <v>20</v>
      </c>
      <c r="G144" s="2">
        <v>45069</v>
      </c>
      <c r="H144" s="3">
        <v>129</v>
      </c>
      <c r="I144" s="3">
        <v>131.38</v>
      </c>
      <c r="J144" s="3">
        <v>298.99</v>
      </c>
    </row>
    <row r="145" spans="1:10" ht="15" thickBot="1" x14ac:dyDescent="0.35">
      <c r="A145" s="1" t="s">
        <v>172</v>
      </c>
      <c r="B145" s="1" t="s">
        <v>17</v>
      </c>
      <c r="C145" s="1" t="s">
        <v>12</v>
      </c>
      <c r="D145" s="1" t="s">
        <v>13</v>
      </c>
      <c r="E145" s="1" t="s">
        <v>14</v>
      </c>
      <c r="F145" s="1" t="s">
        <v>28</v>
      </c>
      <c r="G145" s="2">
        <v>45070</v>
      </c>
      <c r="H145" s="3">
        <v>219</v>
      </c>
      <c r="I145" s="3">
        <v>332.51</v>
      </c>
      <c r="J145" s="3">
        <v>264.3</v>
      </c>
    </row>
    <row r="146" spans="1:10" ht="15" thickBot="1" x14ac:dyDescent="0.35">
      <c r="A146" s="1" t="s">
        <v>173</v>
      </c>
      <c r="B146" s="1" t="s">
        <v>17</v>
      </c>
      <c r="C146" s="1" t="s">
        <v>12</v>
      </c>
      <c r="D146" s="1" t="s">
        <v>13</v>
      </c>
      <c r="E146" s="1" t="s">
        <v>24</v>
      </c>
      <c r="F146" s="1" t="s">
        <v>28</v>
      </c>
      <c r="G146" s="2">
        <v>45071</v>
      </c>
      <c r="H146" s="3">
        <v>315</v>
      </c>
      <c r="I146" s="3">
        <v>489.42</v>
      </c>
      <c r="J146" s="3">
        <v>321.25</v>
      </c>
    </row>
    <row r="147" spans="1:10" ht="15" thickBot="1" x14ac:dyDescent="0.35">
      <c r="A147" s="1" t="s">
        <v>174</v>
      </c>
      <c r="B147" s="1" t="s">
        <v>11</v>
      </c>
      <c r="C147" s="1" t="s">
        <v>12</v>
      </c>
      <c r="D147" s="1" t="s">
        <v>27</v>
      </c>
      <c r="E147" s="1" t="s">
        <v>14</v>
      </c>
      <c r="F147" s="1" t="s">
        <v>28</v>
      </c>
      <c r="G147" s="2">
        <v>45072</v>
      </c>
      <c r="H147" s="3">
        <v>279</v>
      </c>
      <c r="I147" s="3">
        <v>190.28</v>
      </c>
      <c r="J147" s="3">
        <v>43.94</v>
      </c>
    </row>
    <row r="148" spans="1:10" ht="15" thickBot="1" x14ac:dyDescent="0.35">
      <c r="A148" s="1" t="s">
        <v>175</v>
      </c>
      <c r="B148" s="1" t="s">
        <v>11</v>
      </c>
      <c r="C148" s="1" t="s">
        <v>50</v>
      </c>
      <c r="D148" s="1" t="s">
        <v>23</v>
      </c>
      <c r="E148" s="1" t="s">
        <v>24</v>
      </c>
      <c r="F148" s="1" t="s">
        <v>20</v>
      </c>
      <c r="G148" s="2">
        <v>45073</v>
      </c>
      <c r="H148" s="3">
        <v>201</v>
      </c>
      <c r="I148" s="3">
        <v>13.67</v>
      </c>
      <c r="J148" s="3">
        <v>16.16</v>
      </c>
    </row>
    <row r="149" spans="1:10" ht="15" thickBot="1" x14ac:dyDescent="0.35">
      <c r="A149" s="1" t="s">
        <v>176</v>
      </c>
      <c r="B149" s="1" t="s">
        <v>11</v>
      </c>
      <c r="C149" s="1" t="s">
        <v>12</v>
      </c>
      <c r="D149" s="1" t="s">
        <v>23</v>
      </c>
      <c r="E149" s="1" t="s">
        <v>14</v>
      </c>
      <c r="F149" s="1" t="s">
        <v>15</v>
      </c>
      <c r="G149" s="2">
        <v>45074</v>
      </c>
      <c r="H149" s="3">
        <v>184</v>
      </c>
      <c r="I149" s="3">
        <v>125.85</v>
      </c>
      <c r="J149" s="3">
        <v>204.41</v>
      </c>
    </row>
    <row r="150" spans="1:10" ht="15" thickBot="1" x14ac:dyDescent="0.35">
      <c r="A150" s="1" t="s">
        <v>177</v>
      </c>
      <c r="B150" s="1" t="s">
        <v>22</v>
      </c>
      <c r="C150" s="1" t="s">
        <v>50</v>
      </c>
      <c r="D150" s="1" t="s">
        <v>19</v>
      </c>
      <c r="E150" s="1" t="s">
        <v>24</v>
      </c>
      <c r="F150" s="1" t="s">
        <v>20</v>
      </c>
      <c r="G150" s="2">
        <v>45075</v>
      </c>
      <c r="H150" s="3">
        <v>294</v>
      </c>
      <c r="I150" s="3">
        <v>416.28</v>
      </c>
      <c r="J150" s="3">
        <v>156.26</v>
      </c>
    </row>
    <row r="151" spans="1:10" ht="15" thickBot="1" x14ac:dyDescent="0.35">
      <c r="A151" s="1" t="s">
        <v>178</v>
      </c>
      <c r="B151" s="1" t="s">
        <v>17</v>
      </c>
      <c r="C151" s="1" t="s">
        <v>12</v>
      </c>
      <c r="D151" s="1" t="s">
        <v>27</v>
      </c>
      <c r="E151" s="1" t="s">
        <v>14</v>
      </c>
      <c r="F151" s="1" t="s">
        <v>20</v>
      </c>
      <c r="G151" s="2">
        <v>45076</v>
      </c>
      <c r="H151" s="3">
        <v>213</v>
      </c>
      <c r="I151" s="3">
        <v>432.98</v>
      </c>
      <c r="J151" s="3">
        <v>185.85</v>
      </c>
    </row>
    <row r="152" spans="1:10" ht="15" thickBot="1" x14ac:dyDescent="0.35">
      <c r="A152" s="1" t="s">
        <v>179</v>
      </c>
      <c r="B152" s="1" t="s">
        <v>11</v>
      </c>
      <c r="C152" s="1" t="s">
        <v>31</v>
      </c>
      <c r="D152" s="1" t="s">
        <v>27</v>
      </c>
      <c r="E152" s="1" t="s">
        <v>24</v>
      </c>
      <c r="F152" s="1" t="s">
        <v>15</v>
      </c>
      <c r="G152" s="2">
        <v>45077</v>
      </c>
      <c r="H152" s="3">
        <v>173</v>
      </c>
      <c r="I152" s="3">
        <v>385.42</v>
      </c>
      <c r="J152" s="3">
        <v>396.65</v>
      </c>
    </row>
    <row r="153" spans="1:10" ht="15" thickBot="1" x14ac:dyDescent="0.35">
      <c r="A153" s="1" t="s">
        <v>180</v>
      </c>
      <c r="B153" s="1" t="s">
        <v>11</v>
      </c>
      <c r="C153" s="1" t="s">
        <v>12</v>
      </c>
      <c r="D153" s="1" t="s">
        <v>27</v>
      </c>
      <c r="E153" s="1" t="s">
        <v>14</v>
      </c>
      <c r="F153" s="1" t="s">
        <v>15</v>
      </c>
      <c r="G153" s="2">
        <v>45078</v>
      </c>
      <c r="H153" s="3">
        <v>260</v>
      </c>
      <c r="I153" s="3">
        <v>60.99</v>
      </c>
      <c r="J153" s="3">
        <v>388.36</v>
      </c>
    </row>
    <row r="154" spans="1:10" ht="15" thickBot="1" x14ac:dyDescent="0.35">
      <c r="A154" s="1" t="s">
        <v>181</v>
      </c>
      <c r="B154" s="1" t="s">
        <v>22</v>
      </c>
      <c r="C154" s="1" t="s">
        <v>50</v>
      </c>
      <c r="D154" s="1" t="s">
        <v>27</v>
      </c>
      <c r="E154" s="1" t="s">
        <v>24</v>
      </c>
      <c r="F154" s="1" t="s">
        <v>15</v>
      </c>
      <c r="G154" s="2">
        <v>45079</v>
      </c>
      <c r="H154" s="3">
        <v>236</v>
      </c>
      <c r="I154" s="3">
        <v>398.78</v>
      </c>
      <c r="J154" s="3">
        <v>377.04</v>
      </c>
    </row>
    <row r="155" spans="1:10" ht="15" thickBot="1" x14ac:dyDescent="0.35">
      <c r="A155" s="1" t="s">
        <v>182</v>
      </c>
      <c r="B155" s="1" t="s">
        <v>11</v>
      </c>
      <c r="C155" s="1" t="s">
        <v>26</v>
      </c>
      <c r="D155" s="1" t="s">
        <v>23</v>
      </c>
      <c r="E155" s="1" t="s">
        <v>14</v>
      </c>
      <c r="F155" s="1" t="s">
        <v>28</v>
      </c>
      <c r="G155" s="2">
        <v>45080</v>
      </c>
      <c r="H155" s="3">
        <v>445</v>
      </c>
      <c r="I155" s="3">
        <v>459.75</v>
      </c>
      <c r="J155" s="3">
        <v>313.97000000000003</v>
      </c>
    </row>
    <row r="156" spans="1:10" ht="15" thickBot="1" x14ac:dyDescent="0.35">
      <c r="A156" s="1" t="s">
        <v>183</v>
      </c>
      <c r="B156" s="1" t="s">
        <v>22</v>
      </c>
      <c r="C156" s="1" t="s">
        <v>12</v>
      </c>
      <c r="D156" s="1" t="s">
        <v>23</v>
      </c>
      <c r="E156" s="1" t="s">
        <v>24</v>
      </c>
      <c r="F156" s="1" t="s">
        <v>15</v>
      </c>
      <c r="G156" s="2">
        <v>45081</v>
      </c>
      <c r="H156" s="3">
        <v>390</v>
      </c>
      <c r="I156" s="3">
        <v>302.3</v>
      </c>
      <c r="J156" s="3">
        <v>143.22999999999999</v>
      </c>
    </row>
    <row r="157" spans="1:10" ht="15" thickBot="1" x14ac:dyDescent="0.35">
      <c r="A157" s="1" t="s">
        <v>184</v>
      </c>
      <c r="B157" s="1" t="s">
        <v>48</v>
      </c>
      <c r="C157" s="1" t="s">
        <v>26</v>
      </c>
      <c r="D157" s="1" t="s">
        <v>27</v>
      </c>
      <c r="E157" s="1" t="s">
        <v>14</v>
      </c>
      <c r="F157" s="1" t="s">
        <v>20</v>
      </c>
      <c r="G157" s="2">
        <v>45082</v>
      </c>
      <c r="H157" s="3">
        <v>469</v>
      </c>
      <c r="I157" s="3">
        <v>470.73</v>
      </c>
      <c r="J157" s="3">
        <v>166.03</v>
      </c>
    </row>
    <row r="158" spans="1:10" ht="15" thickBot="1" x14ac:dyDescent="0.35">
      <c r="A158" s="1" t="s">
        <v>185</v>
      </c>
      <c r="B158" s="1" t="s">
        <v>11</v>
      </c>
      <c r="C158" s="1" t="s">
        <v>31</v>
      </c>
      <c r="D158" s="1" t="s">
        <v>19</v>
      </c>
      <c r="E158" s="1" t="s">
        <v>14</v>
      </c>
      <c r="F158" s="1" t="s">
        <v>15</v>
      </c>
      <c r="G158" s="2">
        <v>45083</v>
      </c>
      <c r="H158" s="3">
        <v>16</v>
      </c>
      <c r="I158" s="1"/>
      <c r="J158" s="3">
        <v>220.75</v>
      </c>
    </row>
    <row r="159" spans="1:10" ht="15" thickBot="1" x14ac:dyDescent="0.35">
      <c r="A159" s="1" t="s">
        <v>186</v>
      </c>
      <c r="B159" s="1" t="s">
        <v>48</v>
      </c>
      <c r="C159" s="1" t="s">
        <v>18</v>
      </c>
      <c r="D159" s="1" t="s">
        <v>42</v>
      </c>
      <c r="E159" s="1" t="s">
        <v>24</v>
      </c>
      <c r="F159" s="1" t="s">
        <v>20</v>
      </c>
      <c r="G159" s="2">
        <v>45084</v>
      </c>
      <c r="H159" s="3">
        <v>38</v>
      </c>
      <c r="I159" s="3">
        <v>335.15</v>
      </c>
      <c r="J159" s="3">
        <v>332.55</v>
      </c>
    </row>
    <row r="160" spans="1:10" ht="15" thickBot="1" x14ac:dyDescent="0.35">
      <c r="A160" s="1" t="s">
        <v>187</v>
      </c>
      <c r="B160" s="1" t="s">
        <v>22</v>
      </c>
      <c r="C160" s="1" t="s">
        <v>31</v>
      </c>
      <c r="D160" s="1"/>
      <c r="E160" s="1" t="s">
        <v>24</v>
      </c>
      <c r="F160" s="1" t="s">
        <v>28</v>
      </c>
      <c r="G160" s="2">
        <v>45085</v>
      </c>
      <c r="H160" s="3">
        <v>404</v>
      </c>
      <c r="I160" s="3">
        <v>290.70999999999998</v>
      </c>
      <c r="J160" s="3">
        <v>29.35</v>
      </c>
    </row>
    <row r="161" spans="1:10" ht="15" thickBot="1" x14ac:dyDescent="0.35">
      <c r="A161" s="1" t="s">
        <v>188</v>
      </c>
      <c r="B161" s="1" t="s">
        <v>17</v>
      </c>
      <c r="C161" s="1" t="s">
        <v>12</v>
      </c>
      <c r="D161" s="1" t="s">
        <v>19</v>
      </c>
      <c r="E161" s="1" t="s">
        <v>14</v>
      </c>
      <c r="F161" s="1" t="s">
        <v>20</v>
      </c>
      <c r="G161" s="2">
        <v>45086</v>
      </c>
      <c r="H161" s="3">
        <v>42</v>
      </c>
      <c r="I161" s="3">
        <v>177.54</v>
      </c>
      <c r="J161" s="3">
        <v>170.87</v>
      </c>
    </row>
    <row r="162" spans="1:10" ht="15" thickBot="1" x14ac:dyDescent="0.35">
      <c r="A162" s="1" t="s">
        <v>189</v>
      </c>
      <c r="B162" s="1" t="s">
        <v>11</v>
      </c>
      <c r="C162" s="1" t="s">
        <v>26</v>
      </c>
      <c r="D162" s="1" t="s">
        <v>27</v>
      </c>
      <c r="E162" s="1" t="s">
        <v>24</v>
      </c>
      <c r="F162" s="1" t="s">
        <v>20</v>
      </c>
      <c r="G162" s="2">
        <v>45087</v>
      </c>
      <c r="H162" s="3">
        <v>143</v>
      </c>
      <c r="I162" s="3">
        <v>83.85</v>
      </c>
      <c r="J162" s="3">
        <v>34.880000000000003</v>
      </c>
    </row>
    <row r="163" spans="1:10" ht="15" thickBot="1" x14ac:dyDescent="0.35">
      <c r="A163" s="1" t="s">
        <v>190</v>
      </c>
      <c r="B163" s="1" t="s">
        <v>22</v>
      </c>
      <c r="C163" s="1" t="s">
        <v>26</v>
      </c>
      <c r="D163" s="1" t="s">
        <v>23</v>
      </c>
      <c r="E163" s="1" t="s">
        <v>14</v>
      </c>
      <c r="F163" s="1" t="s">
        <v>15</v>
      </c>
      <c r="G163" s="2">
        <v>45088</v>
      </c>
      <c r="H163" s="3">
        <v>376</v>
      </c>
      <c r="I163" s="3">
        <v>304.45</v>
      </c>
      <c r="J163" s="3">
        <v>206.83</v>
      </c>
    </row>
    <row r="164" spans="1:10" ht="15" thickBot="1" x14ac:dyDescent="0.35">
      <c r="A164" s="1" t="s">
        <v>191</v>
      </c>
      <c r="B164" s="1" t="s">
        <v>17</v>
      </c>
      <c r="C164" s="1" t="s">
        <v>50</v>
      </c>
      <c r="D164" s="1" t="s">
        <v>42</v>
      </c>
      <c r="E164" s="1" t="s">
        <v>14</v>
      </c>
      <c r="F164" s="1" t="s">
        <v>15</v>
      </c>
      <c r="G164" s="2">
        <v>45089</v>
      </c>
      <c r="H164" s="3">
        <v>88</v>
      </c>
      <c r="I164" s="3">
        <v>162.47</v>
      </c>
      <c r="J164" s="3">
        <v>359.76</v>
      </c>
    </row>
    <row r="165" spans="1:10" ht="15" thickBot="1" x14ac:dyDescent="0.35">
      <c r="A165" s="1" t="s">
        <v>192</v>
      </c>
      <c r="B165" s="1" t="s">
        <v>17</v>
      </c>
      <c r="C165" s="1" t="s">
        <v>26</v>
      </c>
      <c r="D165" s="1" t="s">
        <v>13</v>
      </c>
      <c r="E165" s="1" t="s">
        <v>14</v>
      </c>
      <c r="F165" s="1" t="s">
        <v>20</v>
      </c>
      <c r="G165" s="2">
        <v>45090</v>
      </c>
      <c r="H165" s="3">
        <v>425</v>
      </c>
      <c r="I165" s="3">
        <v>433.89</v>
      </c>
      <c r="J165" s="3">
        <v>313.43</v>
      </c>
    </row>
    <row r="166" spans="1:10" ht="15" thickBot="1" x14ac:dyDescent="0.35">
      <c r="A166" s="1" t="s">
        <v>193</v>
      </c>
      <c r="B166" s="1" t="s">
        <v>48</v>
      </c>
      <c r="C166" s="1" t="s">
        <v>50</v>
      </c>
      <c r="D166" s="1" t="s">
        <v>13</v>
      </c>
      <c r="E166" s="1" t="s">
        <v>24</v>
      </c>
      <c r="F166" s="1" t="s">
        <v>15</v>
      </c>
      <c r="G166" s="2">
        <v>45091</v>
      </c>
      <c r="H166" s="3">
        <v>444</v>
      </c>
      <c r="I166" s="3">
        <v>496.7</v>
      </c>
      <c r="J166" s="3">
        <v>92.68</v>
      </c>
    </row>
    <row r="167" spans="1:10" ht="15" thickBot="1" x14ac:dyDescent="0.35">
      <c r="A167" s="1" t="s">
        <v>194</v>
      </c>
      <c r="B167" s="1" t="s">
        <v>22</v>
      </c>
      <c r="C167" s="1" t="s">
        <v>18</v>
      </c>
      <c r="D167" s="1" t="s">
        <v>19</v>
      </c>
      <c r="E167" s="1" t="s">
        <v>14</v>
      </c>
      <c r="F167" s="1" t="s">
        <v>28</v>
      </c>
      <c r="G167" s="2">
        <v>45092</v>
      </c>
      <c r="H167" s="3">
        <v>468</v>
      </c>
      <c r="I167" s="3">
        <v>377.45</v>
      </c>
      <c r="J167" s="3">
        <v>390.44</v>
      </c>
    </row>
    <row r="168" spans="1:10" ht="15" thickBot="1" x14ac:dyDescent="0.35">
      <c r="A168" s="1" t="s">
        <v>195</v>
      </c>
      <c r="B168" s="1" t="s">
        <v>17</v>
      </c>
      <c r="C168" s="1" t="s">
        <v>12</v>
      </c>
      <c r="D168" s="1" t="s">
        <v>27</v>
      </c>
      <c r="E168" s="1" t="s">
        <v>14</v>
      </c>
      <c r="F168" s="1" t="s">
        <v>28</v>
      </c>
      <c r="G168" s="2">
        <v>45093</v>
      </c>
      <c r="H168" s="3">
        <v>67</v>
      </c>
      <c r="I168" s="3">
        <v>49.79</v>
      </c>
      <c r="J168" s="3">
        <v>267.61</v>
      </c>
    </row>
    <row r="169" spans="1:10" ht="15" thickBot="1" x14ac:dyDescent="0.35">
      <c r="A169" s="1" t="s">
        <v>196</v>
      </c>
      <c r="B169" s="1" t="s">
        <v>11</v>
      </c>
      <c r="C169" s="1" t="s">
        <v>50</v>
      </c>
      <c r="D169" s="1" t="s">
        <v>42</v>
      </c>
      <c r="E169" s="1" t="s">
        <v>24</v>
      </c>
      <c r="F169" s="1" t="s">
        <v>15</v>
      </c>
      <c r="G169" s="2">
        <v>45094</v>
      </c>
      <c r="H169" s="3">
        <v>480</v>
      </c>
      <c r="I169" s="3">
        <v>147.9</v>
      </c>
      <c r="J169" s="3">
        <v>6.15</v>
      </c>
    </row>
    <row r="170" spans="1:10" ht="15" thickBot="1" x14ac:dyDescent="0.35">
      <c r="A170" s="1" t="s">
        <v>197</v>
      </c>
      <c r="B170" s="1" t="s">
        <v>11</v>
      </c>
      <c r="C170" s="1" t="s">
        <v>18</v>
      </c>
      <c r="D170" s="1" t="s">
        <v>27</v>
      </c>
      <c r="E170" s="1" t="s">
        <v>24</v>
      </c>
      <c r="F170" s="1" t="s">
        <v>28</v>
      </c>
      <c r="G170" s="2">
        <v>45095</v>
      </c>
      <c r="H170" s="3">
        <v>35</v>
      </c>
      <c r="I170" s="3">
        <v>59.01</v>
      </c>
      <c r="J170" s="3">
        <v>103.65</v>
      </c>
    </row>
    <row r="171" spans="1:10" ht="15" thickBot="1" x14ac:dyDescent="0.35">
      <c r="A171" s="1" t="s">
        <v>198</v>
      </c>
      <c r="B171" s="1" t="s">
        <v>48</v>
      </c>
      <c r="C171" s="1" t="s">
        <v>26</v>
      </c>
      <c r="D171" s="1" t="s">
        <v>42</v>
      </c>
      <c r="E171" s="1" t="s">
        <v>24</v>
      </c>
      <c r="F171" s="1" t="s">
        <v>15</v>
      </c>
      <c r="G171" s="2">
        <v>45096</v>
      </c>
      <c r="H171" s="3">
        <v>491</v>
      </c>
      <c r="I171" s="3">
        <v>327</v>
      </c>
      <c r="J171" s="3">
        <v>105.76</v>
      </c>
    </row>
    <row r="172" spans="1:10" ht="15" thickBot="1" x14ac:dyDescent="0.35">
      <c r="A172" s="1" t="s">
        <v>199</v>
      </c>
      <c r="B172" s="1" t="s">
        <v>17</v>
      </c>
      <c r="C172" s="1" t="s">
        <v>26</v>
      </c>
      <c r="D172" s="1" t="s">
        <v>19</v>
      </c>
      <c r="E172" s="1" t="s">
        <v>24</v>
      </c>
      <c r="F172" s="1" t="s">
        <v>20</v>
      </c>
      <c r="G172" s="2">
        <v>45097</v>
      </c>
      <c r="H172" s="3">
        <v>439</v>
      </c>
      <c r="I172" s="3">
        <v>383.77</v>
      </c>
      <c r="J172" s="3">
        <v>29.56</v>
      </c>
    </row>
    <row r="173" spans="1:10" ht="15" thickBot="1" x14ac:dyDescent="0.35">
      <c r="A173" s="1" t="s">
        <v>200</v>
      </c>
      <c r="B173" s="1" t="s">
        <v>22</v>
      </c>
      <c r="C173" s="1" t="s">
        <v>18</v>
      </c>
      <c r="D173" s="1" t="s">
        <v>19</v>
      </c>
      <c r="E173" s="1" t="s">
        <v>14</v>
      </c>
      <c r="F173" s="1" t="s">
        <v>20</v>
      </c>
      <c r="G173" s="2">
        <v>45098</v>
      </c>
      <c r="H173" s="3">
        <v>235</v>
      </c>
      <c r="I173" s="3">
        <v>463.21</v>
      </c>
      <c r="J173" s="3">
        <v>384.01</v>
      </c>
    </row>
    <row r="174" spans="1:10" ht="15" thickBot="1" x14ac:dyDescent="0.35">
      <c r="A174" s="1" t="s">
        <v>201</v>
      </c>
      <c r="B174" s="1" t="s">
        <v>11</v>
      </c>
      <c r="C174" s="1" t="s">
        <v>26</v>
      </c>
      <c r="D174" s="1" t="s">
        <v>13</v>
      </c>
      <c r="E174" s="1" t="s">
        <v>14</v>
      </c>
      <c r="F174" s="1" t="s">
        <v>28</v>
      </c>
      <c r="G174" s="2">
        <v>45099</v>
      </c>
      <c r="H174" s="3">
        <v>294</v>
      </c>
      <c r="I174" s="3">
        <v>221.9</v>
      </c>
      <c r="J174" s="3">
        <v>192.35</v>
      </c>
    </row>
    <row r="175" spans="1:10" ht="15" thickBot="1" x14ac:dyDescent="0.35">
      <c r="A175" s="1" t="s">
        <v>202</v>
      </c>
      <c r="B175" s="1" t="s">
        <v>17</v>
      </c>
      <c r="C175" s="1" t="s">
        <v>18</v>
      </c>
      <c r="D175" s="1" t="s">
        <v>27</v>
      </c>
      <c r="E175" s="1" t="s">
        <v>14</v>
      </c>
      <c r="F175" s="1" t="s">
        <v>15</v>
      </c>
      <c r="G175" s="2">
        <v>45100</v>
      </c>
      <c r="H175" s="3">
        <v>13</v>
      </c>
      <c r="I175" s="3">
        <v>451.18</v>
      </c>
      <c r="J175" s="3">
        <v>358.53</v>
      </c>
    </row>
    <row r="176" spans="1:10" ht="15" thickBot="1" x14ac:dyDescent="0.35">
      <c r="A176" s="1" t="s">
        <v>203</v>
      </c>
      <c r="B176" s="1" t="s">
        <v>17</v>
      </c>
      <c r="C176" s="1" t="s">
        <v>50</v>
      </c>
      <c r="D176" s="1" t="s">
        <v>13</v>
      </c>
      <c r="E176" s="1" t="s">
        <v>14</v>
      </c>
      <c r="F176" s="1" t="s">
        <v>15</v>
      </c>
      <c r="G176" s="2">
        <v>45101</v>
      </c>
      <c r="H176" s="3">
        <v>474</v>
      </c>
      <c r="I176" s="3">
        <v>439.56</v>
      </c>
      <c r="J176" s="3">
        <v>130.24</v>
      </c>
    </row>
    <row r="177" spans="1:10" ht="15" thickBot="1" x14ac:dyDescent="0.35">
      <c r="A177" s="1" t="s">
        <v>204</v>
      </c>
      <c r="B177" s="1" t="s">
        <v>48</v>
      </c>
      <c r="C177" s="1" t="s">
        <v>50</v>
      </c>
      <c r="D177" s="1" t="s">
        <v>27</v>
      </c>
      <c r="E177" s="1" t="s">
        <v>24</v>
      </c>
      <c r="F177" s="1" t="s">
        <v>28</v>
      </c>
      <c r="G177" s="2">
        <v>45102</v>
      </c>
      <c r="H177" s="3">
        <v>108</v>
      </c>
      <c r="I177" s="3">
        <v>162.01</v>
      </c>
      <c r="J177" s="3">
        <v>51.84</v>
      </c>
    </row>
    <row r="178" spans="1:10" ht="15" thickBot="1" x14ac:dyDescent="0.35">
      <c r="A178" s="1" t="s">
        <v>205</v>
      </c>
      <c r="B178" s="1" t="s">
        <v>11</v>
      </c>
      <c r="C178" s="1" t="s">
        <v>18</v>
      </c>
      <c r="D178" s="1" t="s">
        <v>13</v>
      </c>
      <c r="E178" s="1" t="s">
        <v>14</v>
      </c>
      <c r="F178" s="1" t="s">
        <v>20</v>
      </c>
      <c r="G178" s="2">
        <v>45103</v>
      </c>
      <c r="H178" s="3">
        <v>406</v>
      </c>
      <c r="I178" s="3">
        <v>435.11</v>
      </c>
      <c r="J178" s="3">
        <v>190.79</v>
      </c>
    </row>
    <row r="179" spans="1:10" ht="15" thickBot="1" x14ac:dyDescent="0.35">
      <c r="A179" s="1" t="s">
        <v>206</v>
      </c>
      <c r="B179" s="1" t="s">
        <v>11</v>
      </c>
      <c r="C179" s="1" t="s">
        <v>50</v>
      </c>
      <c r="D179" s="1" t="s">
        <v>23</v>
      </c>
      <c r="E179" s="1" t="s">
        <v>14</v>
      </c>
      <c r="F179" s="1" t="s">
        <v>28</v>
      </c>
      <c r="G179" s="2">
        <v>45104</v>
      </c>
      <c r="H179" s="3">
        <v>498</v>
      </c>
      <c r="I179" s="3">
        <v>190.96</v>
      </c>
      <c r="J179" s="3">
        <v>47.35</v>
      </c>
    </row>
    <row r="180" spans="1:10" ht="15" thickBot="1" x14ac:dyDescent="0.35">
      <c r="A180" s="1" t="s">
        <v>207</v>
      </c>
      <c r="B180" s="1" t="s">
        <v>22</v>
      </c>
      <c r="C180" s="1" t="s">
        <v>50</v>
      </c>
      <c r="D180" s="1" t="s">
        <v>23</v>
      </c>
      <c r="E180" s="1" t="s">
        <v>24</v>
      </c>
      <c r="F180" s="1" t="s">
        <v>20</v>
      </c>
      <c r="G180" s="2">
        <v>45105</v>
      </c>
      <c r="H180" s="3">
        <v>48</v>
      </c>
      <c r="I180" s="3">
        <v>151.94999999999999</v>
      </c>
      <c r="J180" s="3">
        <v>195.43</v>
      </c>
    </row>
    <row r="181" spans="1:10" ht="15" thickBot="1" x14ac:dyDescent="0.35">
      <c r="A181" s="1" t="s">
        <v>208</v>
      </c>
      <c r="B181" s="1" t="s">
        <v>11</v>
      </c>
      <c r="C181" s="1" t="s">
        <v>50</v>
      </c>
      <c r="D181" s="1" t="s">
        <v>23</v>
      </c>
      <c r="E181" s="1" t="s">
        <v>14</v>
      </c>
      <c r="F181" s="1" t="s">
        <v>15</v>
      </c>
      <c r="G181" s="2">
        <v>45106</v>
      </c>
      <c r="H181" s="3">
        <v>280</v>
      </c>
      <c r="I181" s="3">
        <v>326.29000000000002</v>
      </c>
      <c r="J181" s="3">
        <v>368.28</v>
      </c>
    </row>
    <row r="182" spans="1:10" ht="15" thickBot="1" x14ac:dyDescent="0.35">
      <c r="A182" s="1" t="s">
        <v>209</v>
      </c>
      <c r="B182" s="1" t="s">
        <v>22</v>
      </c>
      <c r="C182" s="1" t="s">
        <v>31</v>
      </c>
      <c r="D182" s="1" t="s">
        <v>23</v>
      </c>
      <c r="E182" s="1" t="s">
        <v>14</v>
      </c>
      <c r="F182" s="1" t="s">
        <v>20</v>
      </c>
      <c r="G182" s="2">
        <v>45107</v>
      </c>
      <c r="H182" s="3">
        <v>384</v>
      </c>
      <c r="I182" s="3">
        <v>167.55</v>
      </c>
      <c r="J182" s="3">
        <v>209.27</v>
      </c>
    </row>
    <row r="183" spans="1:10" ht="15" thickBot="1" x14ac:dyDescent="0.35">
      <c r="A183" s="1" t="s">
        <v>210</v>
      </c>
      <c r="B183" s="1" t="s">
        <v>11</v>
      </c>
      <c r="C183" s="1" t="s">
        <v>12</v>
      </c>
      <c r="D183" s="1" t="s">
        <v>42</v>
      </c>
      <c r="E183" s="1" t="s">
        <v>14</v>
      </c>
      <c r="F183" s="1" t="s">
        <v>28</v>
      </c>
      <c r="G183" s="2">
        <v>45108</v>
      </c>
      <c r="H183" s="3">
        <v>294</v>
      </c>
      <c r="I183" s="3">
        <v>316.95</v>
      </c>
      <c r="J183" s="3">
        <v>247.37</v>
      </c>
    </row>
    <row r="184" spans="1:10" ht="15" thickBot="1" x14ac:dyDescent="0.35">
      <c r="A184" s="1" t="s">
        <v>211</v>
      </c>
      <c r="B184" s="1" t="s">
        <v>48</v>
      </c>
      <c r="C184" s="1" t="s">
        <v>26</v>
      </c>
      <c r="D184" s="1" t="s">
        <v>23</v>
      </c>
      <c r="E184" s="1" t="s">
        <v>14</v>
      </c>
      <c r="F184" s="1" t="s">
        <v>15</v>
      </c>
      <c r="G184" s="2">
        <v>45109</v>
      </c>
      <c r="H184" s="3">
        <v>166</v>
      </c>
      <c r="I184" s="3">
        <v>306.87</v>
      </c>
      <c r="J184" s="3">
        <v>64.34</v>
      </c>
    </row>
    <row r="185" spans="1:10" ht="15" thickBot="1" x14ac:dyDescent="0.35">
      <c r="A185" s="1" t="s">
        <v>212</v>
      </c>
      <c r="B185" s="1" t="s">
        <v>11</v>
      </c>
      <c r="C185" s="1" t="s">
        <v>31</v>
      </c>
      <c r="D185" s="1" t="s">
        <v>19</v>
      </c>
      <c r="E185" s="1" t="s">
        <v>14</v>
      </c>
      <c r="F185" s="1" t="s">
        <v>28</v>
      </c>
      <c r="G185" s="2">
        <v>45110</v>
      </c>
      <c r="H185" s="3">
        <v>84</v>
      </c>
      <c r="I185" s="3">
        <v>283.89999999999998</v>
      </c>
      <c r="J185" s="3">
        <v>19.41</v>
      </c>
    </row>
    <row r="186" spans="1:10" ht="15" thickBot="1" x14ac:dyDescent="0.35">
      <c r="A186" s="1" t="s">
        <v>213</v>
      </c>
      <c r="B186" s="1" t="s">
        <v>22</v>
      </c>
      <c r="C186" s="1" t="s">
        <v>50</v>
      </c>
      <c r="D186" s="1" t="s">
        <v>19</v>
      </c>
      <c r="E186" s="1" t="s">
        <v>14</v>
      </c>
      <c r="F186" s="1" t="s">
        <v>28</v>
      </c>
      <c r="G186" s="2">
        <v>45111</v>
      </c>
      <c r="H186" s="3">
        <v>381</v>
      </c>
      <c r="I186" s="3">
        <v>193.31</v>
      </c>
      <c r="J186" s="3">
        <v>46.1</v>
      </c>
    </row>
    <row r="187" spans="1:10" ht="15" thickBot="1" x14ac:dyDescent="0.35">
      <c r="A187" s="1" t="s">
        <v>214</v>
      </c>
      <c r="B187" s="1" t="s">
        <v>22</v>
      </c>
      <c r="C187" s="1" t="s">
        <v>18</v>
      </c>
      <c r="D187" s="1" t="s">
        <v>42</v>
      </c>
      <c r="E187" s="1" t="s">
        <v>24</v>
      </c>
      <c r="F187" s="1" t="s">
        <v>20</v>
      </c>
      <c r="G187" s="2">
        <v>45112</v>
      </c>
      <c r="H187" s="3">
        <v>297</v>
      </c>
      <c r="I187" s="3">
        <v>276.51</v>
      </c>
      <c r="J187" s="3">
        <v>240.22</v>
      </c>
    </row>
    <row r="188" spans="1:10" ht="15" thickBot="1" x14ac:dyDescent="0.35">
      <c r="A188" s="1" t="s">
        <v>215</v>
      </c>
      <c r="B188" s="1" t="s">
        <v>48</v>
      </c>
      <c r="C188" s="1" t="s">
        <v>50</v>
      </c>
      <c r="D188" s="1" t="s">
        <v>23</v>
      </c>
      <c r="E188" s="1" t="s">
        <v>24</v>
      </c>
      <c r="F188" s="1" t="s">
        <v>28</v>
      </c>
      <c r="G188" s="2">
        <v>45113</v>
      </c>
      <c r="H188" s="3">
        <v>139</v>
      </c>
      <c r="I188" s="3">
        <v>300.26</v>
      </c>
      <c r="J188" s="3">
        <v>39.81</v>
      </c>
    </row>
    <row r="189" spans="1:10" ht="15" thickBot="1" x14ac:dyDescent="0.35">
      <c r="A189" s="1" t="s">
        <v>216</v>
      </c>
      <c r="B189" s="1" t="s">
        <v>11</v>
      </c>
      <c r="C189" s="1" t="s">
        <v>12</v>
      </c>
      <c r="D189" s="1" t="s">
        <v>23</v>
      </c>
      <c r="E189" s="1" t="s">
        <v>14</v>
      </c>
      <c r="F189" s="1" t="s">
        <v>20</v>
      </c>
      <c r="G189" s="2">
        <v>45114</v>
      </c>
      <c r="H189" s="3">
        <v>184</v>
      </c>
      <c r="I189" s="3">
        <v>275.12</v>
      </c>
      <c r="J189" s="3">
        <v>151.65</v>
      </c>
    </row>
    <row r="190" spans="1:10" ht="15" thickBot="1" x14ac:dyDescent="0.35">
      <c r="A190" s="1" t="s">
        <v>217</v>
      </c>
      <c r="B190" s="1" t="s">
        <v>11</v>
      </c>
      <c r="C190" s="1" t="s">
        <v>50</v>
      </c>
      <c r="D190" s="1" t="s">
        <v>23</v>
      </c>
      <c r="E190" s="1" t="s">
        <v>14</v>
      </c>
      <c r="F190" s="1" t="s">
        <v>15</v>
      </c>
      <c r="G190" s="2">
        <v>45115</v>
      </c>
      <c r="H190" s="3">
        <v>471</v>
      </c>
      <c r="I190" s="3">
        <v>224.99</v>
      </c>
      <c r="J190" s="3">
        <v>220.94</v>
      </c>
    </row>
    <row r="191" spans="1:10" ht="15" thickBot="1" x14ac:dyDescent="0.35">
      <c r="A191" s="1" t="s">
        <v>218</v>
      </c>
      <c r="B191" s="1" t="s">
        <v>48</v>
      </c>
      <c r="C191" s="1" t="s">
        <v>18</v>
      </c>
      <c r="D191" s="1" t="s">
        <v>13</v>
      </c>
      <c r="E191" s="1" t="s">
        <v>24</v>
      </c>
      <c r="F191" s="1" t="s">
        <v>20</v>
      </c>
      <c r="G191" s="2">
        <v>45116</v>
      </c>
      <c r="H191" s="3">
        <v>93</v>
      </c>
      <c r="I191" s="3">
        <v>12.26</v>
      </c>
      <c r="J191" s="3">
        <v>156.68</v>
      </c>
    </row>
    <row r="192" spans="1:10" ht="15" thickBot="1" x14ac:dyDescent="0.35">
      <c r="A192" s="1" t="s">
        <v>219</v>
      </c>
      <c r="B192" s="1" t="s">
        <v>11</v>
      </c>
      <c r="C192" s="1" t="s">
        <v>12</v>
      </c>
      <c r="D192" s="1" t="s">
        <v>27</v>
      </c>
      <c r="E192" s="1" t="s">
        <v>14</v>
      </c>
      <c r="F192" s="1" t="s">
        <v>15</v>
      </c>
      <c r="G192" s="2">
        <v>45117</v>
      </c>
      <c r="H192" s="3">
        <v>31</v>
      </c>
      <c r="I192" s="3">
        <v>295.60000000000002</v>
      </c>
      <c r="J192" s="3">
        <v>67.150000000000006</v>
      </c>
    </row>
    <row r="193" spans="1:10" ht="15" thickBot="1" x14ac:dyDescent="0.35">
      <c r="A193" s="1" t="s">
        <v>220</v>
      </c>
      <c r="B193" s="1" t="s">
        <v>11</v>
      </c>
      <c r="C193" s="1" t="s">
        <v>50</v>
      </c>
      <c r="D193" s="1" t="s">
        <v>13</v>
      </c>
      <c r="E193" s="1" t="s">
        <v>14</v>
      </c>
      <c r="F193" s="1" t="s">
        <v>20</v>
      </c>
      <c r="G193" s="2">
        <v>45118</v>
      </c>
      <c r="H193" s="3">
        <v>468</v>
      </c>
      <c r="I193" s="3">
        <v>88.38</v>
      </c>
      <c r="J193" s="3">
        <v>110.97</v>
      </c>
    </row>
    <row r="194" spans="1:10" ht="15" thickBot="1" x14ac:dyDescent="0.35">
      <c r="A194" s="1" t="s">
        <v>221</v>
      </c>
      <c r="B194" s="1" t="s">
        <v>22</v>
      </c>
      <c r="C194" s="1" t="s">
        <v>12</v>
      </c>
      <c r="D194" s="1" t="s">
        <v>27</v>
      </c>
      <c r="E194" s="1" t="s">
        <v>14</v>
      </c>
      <c r="F194" s="1" t="s">
        <v>28</v>
      </c>
      <c r="G194" s="2">
        <v>45119</v>
      </c>
      <c r="H194" s="3">
        <v>36</v>
      </c>
      <c r="I194" s="3">
        <v>323.08</v>
      </c>
      <c r="J194" s="3">
        <v>371.47</v>
      </c>
    </row>
    <row r="195" spans="1:10" ht="15" thickBot="1" x14ac:dyDescent="0.35">
      <c r="A195" s="1" t="s">
        <v>222</v>
      </c>
      <c r="B195" s="1" t="s">
        <v>11</v>
      </c>
      <c r="C195" s="1" t="s">
        <v>26</v>
      </c>
      <c r="D195" s="1" t="s">
        <v>23</v>
      </c>
      <c r="E195" s="1" t="s">
        <v>24</v>
      </c>
      <c r="F195" s="1" t="s">
        <v>20</v>
      </c>
      <c r="G195" s="2">
        <v>45120</v>
      </c>
      <c r="H195" s="3">
        <v>204</v>
      </c>
      <c r="I195" s="3">
        <v>380.88</v>
      </c>
      <c r="J195" s="3">
        <v>271.04000000000002</v>
      </c>
    </row>
    <row r="196" spans="1:10" ht="15" thickBot="1" x14ac:dyDescent="0.35">
      <c r="A196" s="1" t="s">
        <v>223</v>
      </c>
      <c r="B196" s="1" t="s">
        <v>11</v>
      </c>
      <c r="C196" s="1" t="s">
        <v>26</v>
      </c>
      <c r="D196" s="1" t="s">
        <v>23</v>
      </c>
      <c r="E196" s="1" t="s">
        <v>14</v>
      </c>
      <c r="F196" s="1" t="s">
        <v>20</v>
      </c>
      <c r="G196" s="2">
        <v>45121</v>
      </c>
      <c r="H196" s="3">
        <v>346</v>
      </c>
      <c r="I196" s="3">
        <v>252.72</v>
      </c>
      <c r="J196" s="3">
        <v>199.43</v>
      </c>
    </row>
    <row r="197" spans="1:10" ht="15" thickBot="1" x14ac:dyDescent="0.35">
      <c r="A197" s="1" t="s">
        <v>224</v>
      </c>
      <c r="B197" s="1" t="s">
        <v>48</v>
      </c>
      <c r="C197" s="1" t="s">
        <v>50</v>
      </c>
      <c r="D197" s="1" t="s">
        <v>13</v>
      </c>
      <c r="E197" s="1" t="s">
        <v>24</v>
      </c>
      <c r="F197" s="1" t="s">
        <v>15</v>
      </c>
      <c r="G197" s="2">
        <v>45122</v>
      </c>
      <c r="H197" s="3">
        <v>391</v>
      </c>
      <c r="I197" s="3">
        <v>273.47000000000003</v>
      </c>
      <c r="J197" s="3">
        <v>7.06</v>
      </c>
    </row>
    <row r="198" spans="1:10" ht="15" thickBot="1" x14ac:dyDescent="0.35">
      <c r="A198" s="1" t="s">
        <v>225</v>
      </c>
      <c r="B198" s="1" t="s">
        <v>48</v>
      </c>
      <c r="C198" s="1" t="s">
        <v>12</v>
      </c>
      <c r="D198" s="1" t="s">
        <v>13</v>
      </c>
      <c r="E198" s="1" t="s">
        <v>14</v>
      </c>
      <c r="F198" s="1" t="s">
        <v>28</v>
      </c>
      <c r="G198" s="2">
        <v>45123</v>
      </c>
      <c r="H198" s="3">
        <v>245</v>
      </c>
      <c r="I198" s="3">
        <v>475.98</v>
      </c>
      <c r="J198" s="3">
        <v>396.98</v>
      </c>
    </row>
    <row r="199" spans="1:10" ht="15" thickBot="1" x14ac:dyDescent="0.35">
      <c r="A199" s="1" t="s">
        <v>226</v>
      </c>
      <c r="B199" s="1" t="s">
        <v>17</v>
      </c>
      <c r="C199" s="1" t="s">
        <v>18</v>
      </c>
      <c r="D199" s="1" t="s">
        <v>27</v>
      </c>
      <c r="E199" s="1" t="s">
        <v>24</v>
      </c>
      <c r="F199" s="1" t="s">
        <v>20</v>
      </c>
      <c r="G199" s="2">
        <v>45124</v>
      </c>
      <c r="H199" s="3">
        <v>449</v>
      </c>
      <c r="I199" s="3">
        <v>424.35</v>
      </c>
      <c r="J199" s="3">
        <v>269.24</v>
      </c>
    </row>
    <row r="200" spans="1:10" ht="15" thickBot="1" x14ac:dyDescent="0.35">
      <c r="A200" s="1" t="s">
        <v>227</v>
      </c>
      <c r="B200" s="1" t="s">
        <v>22</v>
      </c>
      <c r="C200" s="1" t="s">
        <v>50</v>
      </c>
      <c r="D200" s="1" t="s">
        <v>19</v>
      </c>
      <c r="E200" s="1" t="s">
        <v>24</v>
      </c>
      <c r="F200" s="1" t="s">
        <v>28</v>
      </c>
      <c r="G200" s="2">
        <v>45125</v>
      </c>
      <c r="H200" s="3">
        <v>101</v>
      </c>
      <c r="I200" s="3">
        <v>457.55</v>
      </c>
      <c r="J200" s="3">
        <v>128.13999999999999</v>
      </c>
    </row>
    <row r="201" spans="1:10" ht="15" thickBot="1" x14ac:dyDescent="0.35">
      <c r="A201" s="1" t="s">
        <v>228</v>
      </c>
      <c r="B201" s="1" t="s">
        <v>11</v>
      </c>
      <c r="C201" s="1" t="s">
        <v>26</v>
      </c>
      <c r="D201" s="1" t="s">
        <v>27</v>
      </c>
      <c r="E201" s="1" t="s">
        <v>14</v>
      </c>
      <c r="F201" s="1" t="s">
        <v>20</v>
      </c>
      <c r="G201" s="2">
        <v>45126</v>
      </c>
      <c r="H201" s="1"/>
      <c r="I201" s="3">
        <v>407.81</v>
      </c>
      <c r="J201" s="3">
        <v>351.95</v>
      </c>
    </row>
    <row r="202" spans="1:10" ht="15" thickBot="1" x14ac:dyDescent="0.35">
      <c r="A202" s="1" t="s">
        <v>229</v>
      </c>
      <c r="B202" s="1" t="s">
        <v>11</v>
      </c>
      <c r="C202" s="1" t="s">
        <v>26</v>
      </c>
      <c r="D202" s="1" t="s">
        <v>13</v>
      </c>
      <c r="E202" s="1" t="s">
        <v>24</v>
      </c>
      <c r="F202" s="1" t="s">
        <v>20</v>
      </c>
      <c r="G202" s="2">
        <v>45127</v>
      </c>
      <c r="H202" s="3">
        <v>30</v>
      </c>
      <c r="I202" s="3">
        <v>58.91</v>
      </c>
      <c r="J202" s="3">
        <v>104.86</v>
      </c>
    </row>
    <row r="203" spans="1:10" ht="15" thickBot="1" x14ac:dyDescent="0.35">
      <c r="A203" s="1" t="s">
        <v>230</v>
      </c>
      <c r="B203" s="1" t="s">
        <v>17</v>
      </c>
      <c r="C203" s="1" t="s">
        <v>50</v>
      </c>
      <c r="D203" s="1" t="s">
        <v>13</v>
      </c>
      <c r="E203" s="1" t="s">
        <v>14</v>
      </c>
      <c r="F203" s="1" t="s">
        <v>28</v>
      </c>
      <c r="G203" s="2">
        <v>45128</v>
      </c>
      <c r="H203" s="3">
        <v>312</v>
      </c>
      <c r="I203" s="3">
        <v>78.75</v>
      </c>
      <c r="J203" s="3">
        <v>218.52</v>
      </c>
    </row>
    <row r="204" spans="1:10" ht="15" thickBot="1" x14ac:dyDescent="0.35">
      <c r="A204" s="1" t="s">
        <v>231</v>
      </c>
      <c r="B204" s="1" t="s">
        <v>11</v>
      </c>
      <c r="C204" s="1" t="s">
        <v>12</v>
      </c>
      <c r="D204" s="1" t="s">
        <v>42</v>
      </c>
      <c r="E204" s="1" t="s">
        <v>24</v>
      </c>
      <c r="F204" s="1" t="s">
        <v>20</v>
      </c>
      <c r="G204" s="2">
        <v>45129</v>
      </c>
      <c r="H204" s="3">
        <v>473</v>
      </c>
      <c r="I204" s="3">
        <v>265.68</v>
      </c>
      <c r="J204" s="3">
        <v>255.16</v>
      </c>
    </row>
    <row r="205" spans="1:10" ht="15" thickBot="1" x14ac:dyDescent="0.35">
      <c r="A205" s="1" t="s">
        <v>232</v>
      </c>
      <c r="B205" s="1" t="s">
        <v>22</v>
      </c>
      <c r="C205" s="1" t="s">
        <v>26</v>
      </c>
      <c r="D205" s="1" t="s">
        <v>13</v>
      </c>
      <c r="E205" s="1" t="s">
        <v>14</v>
      </c>
      <c r="F205" s="1" t="s">
        <v>28</v>
      </c>
      <c r="G205" s="2">
        <v>45130</v>
      </c>
      <c r="H205" s="3">
        <v>366</v>
      </c>
      <c r="I205" s="3">
        <v>126.8</v>
      </c>
      <c r="J205" s="3">
        <v>89.98</v>
      </c>
    </row>
    <row r="206" spans="1:10" ht="15" thickBot="1" x14ac:dyDescent="0.35">
      <c r="A206" s="1" t="s">
        <v>233</v>
      </c>
      <c r="B206" s="1" t="s">
        <v>17</v>
      </c>
      <c r="C206" s="1" t="s">
        <v>12</v>
      </c>
      <c r="D206" s="1" t="s">
        <v>42</v>
      </c>
      <c r="E206" s="1" t="s">
        <v>14</v>
      </c>
      <c r="F206" s="1" t="s">
        <v>20</v>
      </c>
      <c r="G206" s="2">
        <v>45131</v>
      </c>
      <c r="H206" s="3">
        <v>452</v>
      </c>
      <c r="I206" s="3">
        <v>240.96</v>
      </c>
      <c r="J206" s="3">
        <v>391.4</v>
      </c>
    </row>
    <row r="207" spans="1:10" ht="15" thickBot="1" x14ac:dyDescent="0.35">
      <c r="A207" s="1" t="s">
        <v>234</v>
      </c>
      <c r="B207" s="1" t="s">
        <v>22</v>
      </c>
      <c r="C207" s="1" t="s">
        <v>26</v>
      </c>
      <c r="D207" s="1" t="s">
        <v>19</v>
      </c>
      <c r="E207" s="1" t="s">
        <v>24</v>
      </c>
      <c r="F207" s="1" t="s">
        <v>15</v>
      </c>
      <c r="G207" s="2">
        <v>45132</v>
      </c>
      <c r="H207" s="3">
        <v>93</v>
      </c>
      <c r="I207" s="3">
        <v>200.21</v>
      </c>
      <c r="J207" s="3">
        <v>299.77999999999997</v>
      </c>
    </row>
    <row r="208" spans="1:10" ht="15" thickBot="1" x14ac:dyDescent="0.35">
      <c r="A208" s="1" t="s">
        <v>235</v>
      </c>
      <c r="B208" s="1" t="s">
        <v>17</v>
      </c>
      <c r="C208" s="1" t="s">
        <v>26</v>
      </c>
      <c r="D208" s="1" t="s">
        <v>27</v>
      </c>
      <c r="E208" s="1" t="s">
        <v>14</v>
      </c>
      <c r="F208" s="1" t="s">
        <v>28</v>
      </c>
      <c r="G208" s="2">
        <v>45133</v>
      </c>
      <c r="H208" s="3">
        <v>271</v>
      </c>
      <c r="I208" s="3">
        <v>276.95999999999998</v>
      </c>
      <c r="J208" s="3">
        <v>224.01</v>
      </c>
    </row>
    <row r="209" spans="1:10" ht="15" thickBot="1" x14ac:dyDescent="0.35">
      <c r="A209" s="1" t="s">
        <v>236</v>
      </c>
      <c r="B209" s="1" t="s">
        <v>17</v>
      </c>
      <c r="C209" s="1" t="s">
        <v>31</v>
      </c>
      <c r="D209" s="1" t="s">
        <v>27</v>
      </c>
      <c r="E209" s="1" t="s">
        <v>14</v>
      </c>
      <c r="F209" s="1" t="s">
        <v>20</v>
      </c>
      <c r="G209" s="2">
        <v>45134</v>
      </c>
      <c r="H209" s="3">
        <v>156</v>
      </c>
      <c r="I209" s="3">
        <v>374.7</v>
      </c>
      <c r="J209" s="3">
        <v>73.88</v>
      </c>
    </row>
    <row r="210" spans="1:10" ht="15" thickBot="1" x14ac:dyDescent="0.35">
      <c r="A210" s="1" t="s">
        <v>237</v>
      </c>
      <c r="B210" s="1" t="s">
        <v>48</v>
      </c>
      <c r="C210" s="1" t="s">
        <v>26</v>
      </c>
      <c r="D210" s="1" t="s">
        <v>42</v>
      </c>
      <c r="E210" s="1" t="s">
        <v>24</v>
      </c>
      <c r="F210" s="1" t="s">
        <v>20</v>
      </c>
      <c r="G210" s="2">
        <v>45135</v>
      </c>
      <c r="H210" s="3">
        <v>450</v>
      </c>
      <c r="I210" s="3">
        <v>359.17</v>
      </c>
      <c r="J210" s="3">
        <v>23.44</v>
      </c>
    </row>
    <row r="211" spans="1:10" ht="15" thickBot="1" x14ac:dyDescent="0.35">
      <c r="A211" s="1" t="s">
        <v>238</v>
      </c>
      <c r="B211" s="1" t="s">
        <v>22</v>
      </c>
      <c r="C211" s="1" t="s">
        <v>18</v>
      </c>
      <c r="D211" s="1" t="s">
        <v>27</v>
      </c>
      <c r="E211" s="1" t="s">
        <v>14</v>
      </c>
      <c r="F211" s="1" t="s">
        <v>15</v>
      </c>
      <c r="G211" s="2">
        <v>45136</v>
      </c>
      <c r="H211" s="3">
        <v>462</v>
      </c>
      <c r="I211" s="3">
        <v>263.01</v>
      </c>
      <c r="J211" s="3">
        <v>129.38</v>
      </c>
    </row>
    <row r="212" spans="1:10" ht="15" thickBot="1" x14ac:dyDescent="0.35">
      <c r="A212" s="1" t="s">
        <v>239</v>
      </c>
      <c r="B212" s="1" t="s">
        <v>11</v>
      </c>
      <c r="C212" s="1" t="s">
        <v>50</v>
      </c>
      <c r="D212" s="1"/>
      <c r="E212" s="1" t="s">
        <v>14</v>
      </c>
      <c r="F212" s="1" t="s">
        <v>28</v>
      </c>
      <c r="G212" s="2">
        <v>45137</v>
      </c>
      <c r="H212" s="3">
        <v>396</v>
      </c>
      <c r="I212" s="3">
        <v>412.08</v>
      </c>
      <c r="J212" s="3">
        <v>301.77</v>
      </c>
    </row>
    <row r="213" spans="1:10" ht="15" thickBot="1" x14ac:dyDescent="0.35">
      <c r="A213" s="1" t="s">
        <v>240</v>
      </c>
      <c r="B213" s="1" t="s">
        <v>11</v>
      </c>
      <c r="C213" s="1" t="s">
        <v>50</v>
      </c>
      <c r="D213" s="1" t="s">
        <v>23</v>
      </c>
      <c r="E213" s="1" t="s">
        <v>24</v>
      </c>
      <c r="F213" s="1" t="s">
        <v>20</v>
      </c>
      <c r="G213" s="2">
        <v>45138</v>
      </c>
      <c r="H213" s="3">
        <v>266</v>
      </c>
      <c r="I213" s="3">
        <v>218.28</v>
      </c>
      <c r="J213" s="3">
        <v>109.19</v>
      </c>
    </row>
    <row r="214" spans="1:10" ht="15" thickBot="1" x14ac:dyDescent="0.35">
      <c r="A214" s="1" t="s">
        <v>241</v>
      </c>
      <c r="B214" s="1" t="s">
        <v>22</v>
      </c>
      <c r="C214" s="1" t="s">
        <v>12</v>
      </c>
      <c r="D214" s="1" t="s">
        <v>42</v>
      </c>
      <c r="E214" s="1" t="s">
        <v>24</v>
      </c>
      <c r="F214" s="1" t="s">
        <v>15</v>
      </c>
      <c r="G214" s="2">
        <v>45139</v>
      </c>
      <c r="H214" s="3">
        <v>67</v>
      </c>
      <c r="I214" s="3">
        <v>448.87</v>
      </c>
      <c r="J214" s="3">
        <v>216.74</v>
      </c>
    </row>
    <row r="215" spans="1:10" ht="15" thickBot="1" x14ac:dyDescent="0.35">
      <c r="A215" s="1" t="s">
        <v>242</v>
      </c>
      <c r="B215" s="1" t="s">
        <v>11</v>
      </c>
      <c r="C215" s="1" t="s">
        <v>26</v>
      </c>
      <c r="D215" s="1" t="s">
        <v>27</v>
      </c>
      <c r="E215" s="1" t="s">
        <v>14</v>
      </c>
      <c r="F215" s="1" t="s">
        <v>20</v>
      </c>
      <c r="G215" s="2">
        <v>45140</v>
      </c>
      <c r="H215" s="3">
        <v>389</v>
      </c>
      <c r="I215" s="3">
        <v>40.28</v>
      </c>
      <c r="J215" s="3">
        <v>291.72000000000003</v>
      </c>
    </row>
    <row r="216" spans="1:10" ht="15" thickBot="1" x14ac:dyDescent="0.35">
      <c r="A216" s="1" t="s">
        <v>243</v>
      </c>
      <c r="B216" s="1" t="s">
        <v>11</v>
      </c>
      <c r="C216" s="1" t="s">
        <v>18</v>
      </c>
      <c r="D216" s="1" t="s">
        <v>42</v>
      </c>
      <c r="E216" s="1" t="s">
        <v>14</v>
      </c>
      <c r="F216" s="1" t="s">
        <v>28</v>
      </c>
      <c r="G216" s="2">
        <v>45141</v>
      </c>
      <c r="H216" s="3">
        <v>431</v>
      </c>
      <c r="I216" s="3">
        <v>477.56</v>
      </c>
      <c r="J216" s="3">
        <v>44.96</v>
      </c>
    </row>
    <row r="217" spans="1:10" ht="15" thickBot="1" x14ac:dyDescent="0.35">
      <c r="A217" s="1" t="s">
        <v>244</v>
      </c>
      <c r="B217" s="1" t="s">
        <v>22</v>
      </c>
      <c r="C217" s="1" t="s">
        <v>12</v>
      </c>
      <c r="D217" s="1" t="s">
        <v>42</v>
      </c>
      <c r="E217" s="1" t="s">
        <v>24</v>
      </c>
      <c r="F217" s="1" t="s">
        <v>20</v>
      </c>
      <c r="G217" s="2">
        <v>45142</v>
      </c>
      <c r="H217" s="3">
        <v>24</v>
      </c>
      <c r="I217" s="3">
        <v>329.07</v>
      </c>
      <c r="J217" s="3">
        <v>274.75</v>
      </c>
    </row>
    <row r="218" spans="1:10" ht="15" thickBot="1" x14ac:dyDescent="0.35">
      <c r="A218" s="1" t="s">
        <v>245</v>
      </c>
      <c r="B218" s="1" t="s">
        <v>17</v>
      </c>
      <c r="C218" s="1" t="s">
        <v>31</v>
      </c>
      <c r="D218" s="1" t="s">
        <v>23</v>
      </c>
      <c r="E218" s="1" t="s">
        <v>24</v>
      </c>
      <c r="F218" s="1" t="s">
        <v>20</v>
      </c>
      <c r="G218" s="2">
        <v>45143</v>
      </c>
      <c r="H218" s="3">
        <v>171</v>
      </c>
      <c r="I218" s="3">
        <v>193.14</v>
      </c>
      <c r="J218" s="3">
        <v>38.56</v>
      </c>
    </row>
    <row r="219" spans="1:10" ht="15" thickBot="1" x14ac:dyDescent="0.35">
      <c r="A219" s="1" t="s">
        <v>246</v>
      </c>
      <c r="B219" s="1" t="s">
        <v>22</v>
      </c>
      <c r="C219" s="1" t="s">
        <v>12</v>
      </c>
      <c r="D219" s="1" t="s">
        <v>13</v>
      </c>
      <c r="E219" s="1" t="s">
        <v>14</v>
      </c>
      <c r="F219" s="1" t="s">
        <v>20</v>
      </c>
      <c r="G219" s="2">
        <v>45144</v>
      </c>
      <c r="H219" s="3">
        <v>454</v>
      </c>
      <c r="I219" s="3">
        <v>102.59</v>
      </c>
      <c r="J219" s="3">
        <v>386.12</v>
      </c>
    </row>
    <row r="220" spans="1:10" ht="15" thickBot="1" x14ac:dyDescent="0.35">
      <c r="A220" s="1" t="s">
        <v>247</v>
      </c>
      <c r="B220" s="1" t="s">
        <v>17</v>
      </c>
      <c r="C220" s="1" t="s">
        <v>12</v>
      </c>
      <c r="D220" s="1" t="s">
        <v>42</v>
      </c>
      <c r="E220" s="1" t="s">
        <v>24</v>
      </c>
      <c r="F220" s="1" t="s">
        <v>20</v>
      </c>
      <c r="G220" s="2">
        <v>45145</v>
      </c>
      <c r="H220" s="3">
        <v>172</v>
      </c>
      <c r="I220" s="3">
        <v>242.2</v>
      </c>
      <c r="J220" s="3">
        <v>196.38</v>
      </c>
    </row>
    <row r="221" spans="1:10" ht="15" thickBot="1" x14ac:dyDescent="0.35">
      <c r="A221" s="1" t="s">
        <v>248</v>
      </c>
      <c r="B221" s="1" t="s">
        <v>11</v>
      </c>
      <c r="C221" s="1" t="s">
        <v>26</v>
      </c>
      <c r="D221" s="1" t="s">
        <v>27</v>
      </c>
      <c r="E221" s="1" t="s">
        <v>14</v>
      </c>
      <c r="F221" s="1" t="s">
        <v>15</v>
      </c>
      <c r="G221" s="2">
        <v>45146</v>
      </c>
      <c r="H221" s="3">
        <v>329</v>
      </c>
      <c r="I221" s="3">
        <v>101.31</v>
      </c>
      <c r="J221" s="3">
        <v>61.97</v>
      </c>
    </row>
    <row r="222" spans="1:10" ht="15" thickBot="1" x14ac:dyDescent="0.35">
      <c r="A222" s="1" t="s">
        <v>249</v>
      </c>
      <c r="B222" s="1" t="s">
        <v>11</v>
      </c>
      <c r="C222" s="1" t="s">
        <v>31</v>
      </c>
      <c r="D222" s="1" t="s">
        <v>19</v>
      </c>
      <c r="E222" s="1" t="s">
        <v>14</v>
      </c>
      <c r="F222" s="1" t="s">
        <v>15</v>
      </c>
      <c r="G222" s="2">
        <v>45147</v>
      </c>
      <c r="H222" s="3">
        <v>290</v>
      </c>
      <c r="I222" s="3">
        <v>87.33</v>
      </c>
      <c r="J222" s="3">
        <v>138.27000000000001</v>
      </c>
    </row>
    <row r="223" spans="1:10" ht="15" thickBot="1" x14ac:dyDescent="0.35">
      <c r="A223" s="1" t="s">
        <v>250</v>
      </c>
      <c r="B223" s="1"/>
      <c r="C223" s="1" t="s">
        <v>12</v>
      </c>
      <c r="D223" s="1" t="s">
        <v>42</v>
      </c>
      <c r="E223" s="1" t="s">
        <v>14</v>
      </c>
      <c r="F223" s="1" t="s">
        <v>28</v>
      </c>
      <c r="G223" s="2">
        <v>45148</v>
      </c>
      <c r="H223" s="3">
        <v>289</v>
      </c>
      <c r="I223" s="3">
        <v>310.58999999999997</v>
      </c>
      <c r="J223" s="3">
        <v>166.54</v>
      </c>
    </row>
    <row r="224" spans="1:10" ht="15" thickBot="1" x14ac:dyDescent="0.35">
      <c r="A224" s="1" t="s">
        <v>251</v>
      </c>
      <c r="B224" s="1" t="s">
        <v>48</v>
      </c>
      <c r="C224" s="1" t="s">
        <v>18</v>
      </c>
      <c r="D224" s="1" t="s">
        <v>42</v>
      </c>
      <c r="E224" s="1" t="s">
        <v>14</v>
      </c>
      <c r="F224" s="1" t="s">
        <v>15</v>
      </c>
      <c r="G224" s="2">
        <v>45149</v>
      </c>
      <c r="H224" s="3">
        <v>21</v>
      </c>
      <c r="I224" s="3">
        <v>263.93</v>
      </c>
      <c r="J224" s="3">
        <v>303.76</v>
      </c>
    </row>
    <row r="225" spans="1:10" ht="15" thickBot="1" x14ac:dyDescent="0.35">
      <c r="A225" s="1" t="s">
        <v>252</v>
      </c>
      <c r="B225" s="1" t="s">
        <v>17</v>
      </c>
      <c r="C225" s="1" t="s">
        <v>18</v>
      </c>
      <c r="D225" s="1" t="s">
        <v>23</v>
      </c>
      <c r="E225" s="1" t="s">
        <v>14</v>
      </c>
      <c r="F225" s="1" t="s">
        <v>15</v>
      </c>
      <c r="G225" s="2">
        <v>45150</v>
      </c>
      <c r="H225" s="3">
        <v>283</v>
      </c>
      <c r="I225" s="3">
        <v>336.7</v>
      </c>
      <c r="J225" s="3">
        <v>297.88</v>
      </c>
    </row>
    <row r="226" spans="1:10" ht="15" thickBot="1" x14ac:dyDescent="0.35">
      <c r="A226" s="1" t="s">
        <v>253</v>
      </c>
      <c r="B226" s="1" t="s">
        <v>48</v>
      </c>
      <c r="C226" s="1" t="s">
        <v>50</v>
      </c>
      <c r="D226" s="1" t="s">
        <v>13</v>
      </c>
      <c r="E226" s="1" t="s">
        <v>24</v>
      </c>
      <c r="F226" s="1" t="s">
        <v>28</v>
      </c>
      <c r="G226" s="2">
        <v>45151</v>
      </c>
      <c r="H226" s="3">
        <v>280</v>
      </c>
      <c r="I226" s="3">
        <v>465.15</v>
      </c>
      <c r="J226" s="3">
        <v>245.55</v>
      </c>
    </row>
    <row r="227" spans="1:10" ht="15" thickBot="1" x14ac:dyDescent="0.35">
      <c r="A227" s="1" t="s">
        <v>254</v>
      </c>
      <c r="B227" s="1" t="s">
        <v>48</v>
      </c>
      <c r="C227" s="1" t="s">
        <v>31</v>
      </c>
      <c r="D227" s="1" t="s">
        <v>19</v>
      </c>
      <c r="E227" s="1" t="s">
        <v>24</v>
      </c>
      <c r="F227" s="1" t="s">
        <v>15</v>
      </c>
      <c r="G227" s="2">
        <v>45152</v>
      </c>
      <c r="H227" s="3">
        <v>217</v>
      </c>
      <c r="I227" s="3">
        <v>268.47000000000003</v>
      </c>
      <c r="J227" s="3">
        <v>44.16</v>
      </c>
    </row>
    <row r="228" spans="1:10" ht="15" thickBot="1" x14ac:dyDescent="0.35">
      <c r="A228" s="1" t="s">
        <v>255</v>
      </c>
      <c r="B228" s="1" t="s">
        <v>22</v>
      </c>
      <c r="C228" s="1" t="s">
        <v>31</v>
      </c>
      <c r="D228" s="1" t="s">
        <v>27</v>
      </c>
      <c r="E228" s="1" t="s">
        <v>24</v>
      </c>
      <c r="F228" s="1" t="s">
        <v>15</v>
      </c>
      <c r="G228" s="2">
        <v>45153</v>
      </c>
      <c r="H228" s="3">
        <v>36</v>
      </c>
      <c r="I228" s="3">
        <v>292.56</v>
      </c>
      <c r="J228" s="3">
        <v>62.32</v>
      </c>
    </row>
    <row r="229" spans="1:10" ht="15" thickBot="1" x14ac:dyDescent="0.35">
      <c r="A229" s="1" t="s">
        <v>256</v>
      </c>
      <c r="B229" s="1" t="s">
        <v>48</v>
      </c>
      <c r="C229" s="1" t="s">
        <v>50</v>
      </c>
      <c r="D229" s="1" t="s">
        <v>19</v>
      </c>
      <c r="E229" s="1" t="s">
        <v>24</v>
      </c>
      <c r="F229" s="1" t="s">
        <v>28</v>
      </c>
      <c r="G229" s="2">
        <v>45154</v>
      </c>
      <c r="H229" s="1"/>
      <c r="I229" s="3">
        <v>49.37</v>
      </c>
      <c r="J229" s="3">
        <v>39.32</v>
      </c>
    </row>
    <row r="230" spans="1:10" ht="15" thickBot="1" x14ac:dyDescent="0.35">
      <c r="A230" s="1" t="s">
        <v>257</v>
      </c>
      <c r="B230" s="1" t="s">
        <v>22</v>
      </c>
      <c r="C230" s="1" t="s">
        <v>12</v>
      </c>
      <c r="D230" s="1" t="s">
        <v>27</v>
      </c>
      <c r="E230" s="1" t="s">
        <v>14</v>
      </c>
      <c r="F230" s="1" t="s">
        <v>28</v>
      </c>
      <c r="G230" s="2">
        <v>45155</v>
      </c>
      <c r="H230" s="3">
        <v>69</v>
      </c>
      <c r="I230" s="3">
        <v>360.23</v>
      </c>
      <c r="J230" s="3">
        <v>231.71</v>
      </c>
    </row>
    <row r="231" spans="1:10" ht="15" thickBot="1" x14ac:dyDescent="0.35">
      <c r="A231" s="1" t="s">
        <v>258</v>
      </c>
      <c r="B231" s="1" t="s">
        <v>22</v>
      </c>
      <c r="C231" s="1" t="s">
        <v>31</v>
      </c>
      <c r="D231" s="1" t="s">
        <v>13</v>
      </c>
      <c r="E231" s="1" t="s">
        <v>14</v>
      </c>
      <c r="F231" s="1" t="s">
        <v>28</v>
      </c>
      <c r="G231" s="2">
        <v>45156</v>
      </c>
      <c r="H231" s="3">
        <v>439</v>
      </c>
      <c r="I231" s="3">
        <v>202.95</v>
      </c>
      <c r="J231" s="3">
        <v>351.1</v>
      </c>
    </row>
    <row r="232" spans="1:10" ht="15" thickBot="1" x14ac:dyDescent="0.35">
      <c r="A232" s="1" t="s">
        <v>259</v>
      </c>
      <c r="B232" s="1" t="s">
        <v>48</v>
      </c>
      <c r="C232" s="1" t="s">
        <v>18</v>
      </c>
      <c r="D232" s="1" t="s">
        <v>27</v>
      </c>
      <c r="E232" s="1" t="s">
        <v>14</v>
      </c>
      <c r="F232" s="1" t="s">
        <v>20</v>
      </c>
      <c r="G232" s="2">
        <v>45157</v>
      </c>
      <c r="H232" s="3">
        <v>482</v>
      </c>
      <c r="I232" s="3">
        <v>488.48</v>
      </c>
      <c r="J232" s="3">
        <v>174.65</v>
      </c>
    </row>
    <row r="233" spans="1:10" ht="15" thickBot="1" x14ac:dyDescent="0.35">
      <c r="A233" s="1" t="s">
        <v>260</v>
      </c>
      <c r="B233" s="1" t="s">
        <v>17</v>
      </c>
      <c r="C233" s="1" t="s">
        <v>18</v>
      </c>
      <c r="D233" s="1" t="s">
        <v>23</v>
      </c>
      <c r="E233" s="1" t="s">
        <v>14</v>
      </c>
      <c r="F233" s="1" t="s">
        <v>20</v>
      </c>
      <c r="G233" s="2">
        <v>45158</v>
      </c>
      <c r="H233" s="3">
        <v>154</v>
      </c>
      <c r="I233" s="3">
        <v>412.47</v>
      </c>
      <c r="J233" s="3">
        <v>66.02</v>
      </c>
    </row>
    <row r="234" spans="1:10" ht="15" thickBot="1" x14ac:dyDescent="0.35">
      <c r="A234" s="1" t="s">
        <v>261</v>
      </c>
      <c r="B234" s="1" t="s">
        <v>17</v>
      </c>
      <c r="C234" s="1" t="s">
        <v>26</v>
      </c>
      <c r="D234" s="1" t="s">
        <v>23</v>
      </c>
      <c r="E234" s="1" t="s">
        <v>24</v>
      </c>
      <c r="F234" s="1" t="s">
        <v>28</v>
      </c>
      <c r="G234" s="2">
        <v>45159</v>
      </c>
      <c r="H234" s="3">
        <v>102</v>
      </c>
      <c r="I234" s="3">
        <v>263.63</v>
      </c>
      <c r="J234" s="3">
        <v>224.1</v>
      </c>
    </row>
    <row r="235" spans="1:10" ht="15" thickBot="1" x14ac:dyDescent="0.35">
      <c r="A235" s="1" t="s">
        <v>262</v>
      </c>
      <c r="B235" s="1" t="s">
        <v>17</v>
      </c>
      <c r="C235" s="1" t="s">
        <v>31</v>
      </c>
      <c r="D235" s="1" t="s">
        <v>23</v>
      </c>
      <c r="E235" s="1" t="s">
        <v>14</v>
      </c>
      <c r="F235" s="1" t="s">
        <v>28</v>
      </c>
      <c r="G235" s="2">
        <v>45160</v>
      </c>
      <c r="H235" s="3">
        <v>318</v>
      </c>
      <c r="I235" s="3">
        <v>66</v>
      </c>
      <c r="J235" s="3">
        <v>325.08</v>
      </c>
    </row>
    <row r="236" spans="1:10" ht="15" thickBot="1" x14ac:dyDescent="0.35">
      <c r="A236" s="1" t="s">
        <v>263</v>
      </c>
      <c r="B236" s="1" t="s">
        <v>17</v>
      </c>
      <c r="C236" s="1" t="s">
        <v>12</v>
      </c>
      <c r="D236" s="1" t="s">
        <v>23</v>
      </c>
      <c r="E236" s="1" t="s">
        <v>14</v>
      </c>
      <c r="F236" s="1" t="s">
        <v>28</v>
      </c>
      <c r="G236" s="2">
        <v>45161</v>
      </c>
      <c r="H236" s="3">
        <v>17</v>
      </c>
      <c r="I236" s="3">
        <v>430.41</v>
      </c>
      <c r="J236" s="3">
        <v>297.2</v>
      </c>
    </row>
    <row r="237" spans="1:10" ht="15" thickBot="1" x14ac:dyDescent="0.35">
      <c r="A237" s="1" t="s">
        <v>264</v>
      </c>
      <c r="B237" s="1" t="s">
        <v>17</v>
      </c>
      <c r="C237" s="1" t="s">
        <v>50</v>
      </c>
      <c r="D237" s="1" t="s">
        <v>19</v>
      </c>
      <c r="E237" s="1" t="s">
        <v>24</v>
      </c>
      <c r="F237" s="1" t="s">
        <v>20</v>
      </c>
      <c r="G237" s="2">
        <v>45162</v>
      </c>
      <c r="H237" s="3">
        <v>88</v>
      </c>
      <c r="I237" s="3">
        <v>400.89</v>
      </c>
      <c r="J237" s="3">
        <v>352.82</v>
      </c>
    </row>
    <row r="238" spans="1:10" ht="15" thickBot="1" x14ac:dyDescent="0.35">
      <c r="A238" s="1" t="s">
        <v>265</v>
      </c>
      <c r="B238" s="1" t="s">
        <v>48</v>
      </c>
      <c r="C238" s="1" t="s">
        <v>50</v>
      </c>
      <c r="D238" s="1" t="s">
        <v>13</v>
      </c>
      <c r="E238" s="1" t="s">
        <v>24</v>
      </c>
      <c r="F238" s="1" t="s">
        <v>20</v>
      </c>
      <c r="G238" s="2">
        <v>45163</v>
      </c>
      <c r="H238" s="3">
        <v>36</v>
      </c>
      <c r="I238" s="3">
        <v>96.37</v>
      </c>
      <c r="J238" s="3">
        <v>112.61</v>
      </c>
    </row>
    <row r="239" spans="1:10" ht="15" thickBot="1" x14ac:dyDescent="0.35">
      <c r="A239" s="1" t="s">
        <v>266</v>
      </c>
      <c r="B239" s="1" t="s">
        <v>48</v>
      </c>
      <c r="C239" s="1" t="s">
        <v>12</v>
      </c>
      <c r="D239" s="1" t="s">
        <v>27</v>
      </c>
      <c r="E239" s="1" t="s">
        <v>24</v>
      </c>
      <c r="F239" s="1" t="s">
        <v>15</v>
      </c>
      <c r="G239" s="2">
        <v>45164</v>
      </c>
      <c r="H239" s="3">
        <v>183</v>
      </c>
      <c r="I239" s="3">
        <v>151.16</v>
      </c>
      <c r="J239" s="3">
        <v>79.19</v>
      </c>
    </row>
    <row r="240" spans="1:10" ht="15" thickBot="1" x14ac:dyDescent="0.35">
      <c r="A240" s="1" t="s">
        <v>267</v>
      </c>
      <c r="B240" s="1" t="s">
        <v>11</v>
      </c>
      <c r="C240" s="1" t="s">
        <v>26</v>
      </c>
      <c r="D240" s="1" t="s">
        <v>27</v>
      </c>
      <c r="E240" s="1" t="s">
        <v>24</v>
      </c>
      <c r="F240" s="1" t="s">
        <v>15</v>
      </c>
      <c r="G240" s="2">
        <v>45165</v>
      </c>
      <c r="H240" s="3">
        <v>59</v>
      </c>
      <c r="I240" s="3">
        <v>397.74</v>
      </c>
      <c r="J240" s="3">
        <v>352.17</v>
      </c>
    </row>
    <row r="241" spans="1:10" ht="15" thickBot="1" x14ac:dyDescent="0.35">
      <c r="A241" s="1" t="s">
        <v>268</v>
      </c>
      <c r="B241" s="1" t="s">
        <v>17</v>
      </c>
      <c r="C241" s="1" t="s">
        <v>50</v>
      </c>
      <c r="D241" s="1" t="s">
        <v>23</v>
      </c>
      <c r="E241" s="1" t="s">
        <v>14</v>
      </c>
      <c r="F241" s="1" t="s">
        <v>28</v>
      </c>
      <c r="G241" s="2">
        <v>45166</v>
      </c>
      <c r="H241" s="3">
        <v>208</v>
      </c>
      <c r="I241" s="3">
        <v>96.69</v>
      </c>
      <c r="J241" s="3">
        <v>263.70999999999998</v>
      </c>
    </row>
    <row r="242" spans="1:10" ht="15" thickBot="1" x14ac:dyDescent="0.35">
      <c r="A242" s="1" t="s">
        <v>269</v>
      </c>
      <c r="B242" s="1" t="s">
        <v>48</v>
      </c>
      <c r="C242" s="1" t="s">
        <v>31</v>
      </c>
      <c r="D242" s="1" t="s">
        <v>23</v>
      </c>
      <c r="E242" s="1" t="s">
        <v>14</v>
      </c>
      <c r="F242" s="1" t="s">
        <v>20</v>
      </c>
      <c r="G242" s="2">
        <v>45167</v>
      </c>
      <c r="H242" s="3">
        <v>396</v>
      </c>
      <c r="I242" s="3">
        <v>459.29</v>
      </c>
      <c r="J242" s="3">
        <v>125.75</v>
      </c>
    </row>
    <row r="243" spans="1:10" ht="15" thickBot="1" x14ac:dyDescent="0.35">
      <c r="A243" s="1" t="s">
        <v>270</v>
      </c>
      <c r="B243" s="1" t="s">
        <v>11</v>
      </c>
      <c r="C243" s="1" t="s">
        <v>26</v>
      </c>
      <c r="D243" s="1" t="s">
        <v>42</v>
      </c>
      <c r="E243" s="1" t="s">
        <v>24</v>
      </c>
      <c r="F243" s="1" t="s">
        <v>20</v>
      </c>
      <c r="G243" s="2">
        <v>45168</v>
      </c>
      <c r="H243" s="3">
        <v>358</v>
      </c>
      <c r="I243" s="3">
        <v>215.14</v>
      </c>
      <c r="J243" s="3">
        <v>297.45</v>
      </c>
    </row>
    <row r="244" spans="1:10" ht="15" thickBot="1" x14ac:dyDescent="0.35">
      <c r="A244" s="1" t="s">
        <v>271</v>
      </c>
      <c r="B244" s="1" t="s">
        <v>17</v>
      </c>
      <c r="C244" s="1" t="s">
        <v>31</v>
      </c>
      <c r="D244" s="1" t="s">
        <v>13</v>
      </c>
      <c r="E244" s="1" t="s">
        <v>14</v>
      </c>
      <c r="F244" s="1" t="s">
        <v>20</v>
      </c>
      <c r="G244" s="2">
        <v>45169</v>
      </c>
      <c r="H244" s="3">
        <v>457</v>
      </c>
      <c r="I244" s="3">
        <v>48.08</v>
      </c>
      <c r="J244" s="3">
        <v>326.42</v>
      </c>
    </row>
    <row r="245" spans="1:10" ht="15" thickBot="1" x14ac:dyDescent="0.35">
      <c r="A245" s="1" t="s">
        <v>272</v>
      </c>
      <c r="B245" s="1" t="s">
        <v>22</v>
      </c>
      <c r="C245" s="1" t="s">
        <v>18</v>
      </c>
      <c r="D245" s="1" t="s">
        <v>19</v>
      </c>
      <c r="E245" s="1" t="s">
        <v>14</v>
      </c>
      <c r="F245" s="1" t="s">
        <v>28</v>
      </c>
      <c r="G245" s="2">
        <v>45170</v>
      </c>
      <c r="H245" s="3">
        <v>437</v>
      </c>
      <c r="I245" s="3">
        <v>408.8</v>
      </c>
      <c r="J245" s="3">
        <v>246.76</v>
      </c>
    </row>
    <row r="246" spans="1:10" ht="15" thickBot="1" x14ac:dyDescent="0.35">
      <c r="A246" s="1" t="s">
        <v>273</v>
      </c>
      <c r="B246" s="1" t="s">
        <v>11</v>
      </c>
      <c r="C246" s="1" t="s">
        <v>26</v>
      </c>
      <c r="D246" s="1" t="s">
        <v>27</v>
      </c>
      <c r="E246" s="1" t="s">
        <v>14</v>
      </c>
      <c r="F246" s="1" t="s">
        <v>15</v>
      </c>
      <c r="G246" s="2">
        <v>45171</v>
      </c>
      <c r="H246" s="3">
        <v>190</v>
      </c>
      <c r="I246" s="3">
        <v>189.89</v>
      </c>
      <c r="J246" s="3">
        <v>275.77999999999997</v>
      </c>
    </row>
    <row r="247" spans="1:10" ht="15" thickBot="1" x14ac:dyDescent="0.35">
      <c r="A247" s="1" t="s">
        <v>274</v>
      </c>
      <c r="B247" s="1" t="s">
        <v>48</v>
      </c>
      <c r="C247" s="1" t="s">
        <v>50</v>
      </c>
      <c r="D247" s="1" t="s">
        <v>42</v>
      </c>
      <c r="E247" s="1" t="s">
        <v>24</v>
      </c>
      <c r="F247" s="1" t="s">
        <v>28</v>
      </c>
      <c r="G247" s="2">
        <v>45172</v>
      </c>
      <c r="H247" s="3">
        <v>33</v>
      </c>
      <c r="I247" s="3">
        <v>265.62</v>
      </c>
      <c r="J247" s="3">
        <v>151.35</v>
      </c>
    </row>
    <row r="248" spans="1:10" ht="15" thickBot="1" x14ac:dyDescent="0.35">
      <c r="A248" s="1" t="s">
        <v>275</v>
      </c>
      <c r="B248" s="1" t="s">
        <v>22</v>
      </c>
      <c r="C248" s="1" t="s">
        <v>26</v>
      </c>
      <c r="D248" s="1" t="s">
        <v>42</v>
      </c>
      <c r="E248" s="1" t="s">
        <v>14</v>
      </c>
      <c r="F248" s="1" t="s">
        <v>15</v>
      </c>
      <c r="G248" s="2">
        <v>45173</v>
      </c>
      <c r="H248" s="3">
        <v>325</v>
      </c>
      <c r="I248" s="3">
        <v>60.59</v>
      </c>
      <c r="J248" s="3">
        <v>216.4</v>
      </c>
    </row>
    <row r="249" spans="1:10" ht="15" thickBot="1" x14ac:dyDescent="0.35">
      <c r="A249" s="1" t="s">
        <v>276</v>
      </c>
      <c r="B249" s="1" t="s">
        <v>22</v>
      </c>
      <c r="C249" s="1" t="s">
        <v>26</v>
      </c>
      <c r="D249" s="1" t="s">
        <v>27</v>
      </c>
      <c r="E249" s="1" t="s">
        <v>24</v>
      </c>
      <c r="F249" s="1" t="s">
        <v>15</v>
      </c>
      <c r="G249" s="2">
        <v>45174</v>
      </c>
      <c r="H249" s="3">
        <v>387</v>
      </c>
      <c r="I249" s="3">
        <v>6.28</v>
      </c>
      <c r="J249" s="3">
        <v>210.62</v>
      </c>
    </row>
    <row r="250" spans="1:10" ht="15" thickBot="1" x14ac:dyDescent="0.35">
      <c r="A250" s="1" t="s">
        <v>277</v>
      </c>
      <c r="B250" s="1" t="s">
        <v>22</v>
      </c>
      <c r="C250" s="1" t="s">
        <v>26</v>
      </c>
      <c r="D250" s="1" t="s">
        <v>19</v>
      </c>
      <c r="E250" s="1" t="s">
        <v>14</v>
      </c>
      <c r="F250" s="1" t="s">
        <v>28</v>
      </c>
      <c r="G250" s="2">
        <v>45175</v>
      </c>
      <c r="H250" s="3">
        <v>396</v>
      </c>
      <c r="I250" s="3">
        <v>320.8</v>
      </c>
      <c r="J250" s="3">
        <v>339.52</v>
      </c>
    </row>
    <row r="251" spans="1:10" ht="15" thickBot="1" x14ac:dyDescent="0.35">
      <c r="A251" s="1" t="s">
        <v>278</v>
      </c>
      <c r="B251" s="1" t="s">
        <v>11</v>
      </c>
      <c r="C251" s="1" t="s">
        <v>26</v>
      </c>
      <c r="D251" s="1" t="s">
        <v>42</v>
      </c>
      <c r="E251" s="1" t="s">
        <v>14</v>
      </c>
      <c r="F251" s="1" t="s">
        <v>15</v>
      </c>
      <c r="G251" s="2">
        <v>45176</v>
      </c>
      <c r="H251" s="3">
        <v>413</v>
      </c>
      <c r="I251" s="3">
        <v>260.01</v>
      </c>
      <c r="J251" s="3">
        <v>336.31</v>
      </c>
    </row>
    <row r="252" spans="1:10" ht="15" thickBot="1" x14ac:dyDescent="0.35">
      <c r="A252" s="1" t="s">
        <v>279</v>
      </c>
      <c r="B252" s="1" t="s">
        <v>48</v>
      </c>
      <c r="C252" s="1" t="s">
        <v>31</v>
      </c>
      <c r="D252" s="1" t="s">
        <v>42</v>
      </c>
      <c r="E252" s="1" t="s">
        <v>14</v>
      </c>
      <c r="F252" s="1" t="s">
        <v>15</v>
      </c>
      <c r="G252" s="2">
        <v>45177</v>
      </c>
      <c r="H252" s="1"/>
      <c r="I252" s="3">
        <v>298.8</v>
      </c>
      <c r="J252" s="3">
        <v>333.41</v>
      </c>
    </row>
    <row r="253" spans="1:10" ht="15" thickBot="1" x14ac:dyDescent="0.35">
      <c r="A253" s="1" t="s">
        <v>280</v>
      </c>
      <c r="B253" s="1" t="s">
        <v>22</v>
      </c>
      <c r="C253" s="1" t="s">
        <v>18</v>
      </c>
      <c r="D253" s="1" t="s">
        <v>13</v>
      </c>
      <c r="E253" s="1" t="s">
        <v>24</v>
      </c>
      <c r="F253" s="1" t="s">
        <v>20</v>
      </c>
      <c r="G253" s="2">
        <v>45178</v>
      </c>
      <c r="H253" s="3">
        <v>24</v>
      </c>
      <c r="I253" s="3">
        <v>397.9</v>
      </c>
      <c r="J253" s="3">
        <v>6.39</v>
      </c>
    </row>
    <row r="254" spans="1:10" ht="15" thickBot="1" x14ac:dyDescent="0.35">
      <c r="A254" s="1" t="s">
        <v>281</v>
      </c>
      <c r="B254" s="1" t="s">
        <v>17</v>
      </c>
      <c r="C254" s="1" t="s">
        <v>12</v>
      </c>
      <c r="D254" s="1"/>
      <c r="E254" s="1" t="s">
        <v>14</v>
      </c>
      <c r="F254" s="1" t="s">
        <v>15</v>
      </c>
      <c r="G254" s="2">
        <v>45179</v>
      </c>
      <c r="H254" s="3">
        <v>162</v>
      </c>
      <c r="I254" s="3">
        <v>325.07</v>
      </c>
      <c r="J254" s="3">
        <v>300.32</v>
      </c>
    </row>
    <row r="255" spans="1:10" ht="15" thickBot="1" x14ac:dyDescent="0.35">
      <c r="A255" s="1" t="s">
        <v>282</v>
      </c>
      <c r="B255" s="1" t="s">
        <v>22</v>
      </c>
      <c r="C255" s="1" t="s">
        <v>26</v>
      </c>
      <c r="D255" s="1" t="s">
        <v>42</v>
      </c>
      <c r="E255" s="1" t="s">
        <v>24</v>
      </c>
      <c r="F255" s="1" t="s">
        <v>28</v>
      </c>
      <c r="G255" s="2">
        <v>45180</v>
      </c>
      <c r="H255" s="3">
        <v>231</v>
      </c>
      <c r="I255" s="3">
        <v>91.51</v>
      </c>
      <c r="J255" s="3">
        <v>303.95</v>
      </c>
    </row>
    <row r="256" spans="1:10" ht="15" thickBot="1" x14ac:dyDescent="0.35">
      <c r="A256" s="1" t="s">
        <v>283</v>
      </c>
      <c r="B256" s="1" t="s">
        <v>22</v>
      </c>
      <c r="C256" s="1" t="s">
        <v>50</v>
      </c>
      <c r="D256" s="1" t="s">
        <v>19</v>
      </c>
      <c r="E256" s="1" t="s">
        <v>24</v>
      </c>
      <c r="F256" s="1" t="s">
        <v>28</v>
      </c>
      <c r="G256" s="2">
        <v>45181</v>
      </c>
      <c r="H256" s="3">
        <v>215</v>
      </c>
      <c r="I256" s="3">
        <v>183.58</v>
      </c>
      <c r="J256" s="3">
        <v>271.99</v>
      </c>
    </row>
    <row r="257" spans="1:10" ht="15" thickBot="1" x14ac:dyDescent="0.35">
      <c r="A257" s="1" t="s">
        <v>284</v>
      </c>
      <c r="B257" s="1" t="s">
        <v>11</v>
      </c>
      <c r="C257" s="1" t="s">
        <v>26</v>
      </c>
      <c r="D257" s="1" t="s">
        <v>27</v>
      </c>
      <c r="E257" s="1" t="s">
        <v>24</v>
      </c>
      <c r="F257" s="1" t="s">
        <v>15</v>
      </c>
      <c r="G257" s="2">
        <v>45182</v>
      </c>
      <c r="H257" s="3">
        <v>464</v>
      </c>
      <c r="I257" s="3">
        <v>453.42</v>
      </c>
      <c r="J257" s="3">
        <v>302.99</v>
      </c>
    </row>
    <row r="258" spans="1:10" ht="15" thickBot="1" x14ac:dyDescent="0.35">
      <c r="A258" s="1" t="s">
        <v>285</v>
      </c>
      <c r="B258" s="1" t="s">
        <v>11</v>
      </c>
      <c r="C258" s="1" t="s">
        <v>50</v>
      </c>
      <c r="D258" s="1" t="s">
        <v>23</v>
      </c>
      <c r="E258" s="1" t="s">
        <v>14</v>
      </c>
      <c r="F258" s="1" t="s">
        <v>20</v>
      </c>
      <c r="G258" s="2">
        <v>45183</v>
      </c>
      <c r="H258" s="3">
        <v>282</v>
      </c>
      <c r="I258" s="1"/>
      <c r="J258" s="3">
        <v>337.1</v>
      </c>
    </row>
    <row r="259" spans="1:10" ht="15" thickBot="1" x14ac:dyDescent="0.35">
      <c r="A259" s="1" t="s">
        <v>286</v>
      </c>
      <c r="B259" s="1" t="s">
        <v>48</v>
      </c>
      <c r="C259" s="1" t="s">
        <v>31</v>
      </c>
      <c r="D259" s="1" t="s">
        <v>42</v>
      </c>
      <c r="E259" s="1" t="s">
        <v>14</v>
      </c>
      <c r="F259" s="1" t="s">
        <v>20</v>
      </c>
      <c r="G259" s="2">
        <v>45184</v>
      </c>
      <c r="H259" s="3">
        <v>391</v>
      </c>
      <c r="I259" s="3">
        <v>280.54000000000002</v>
      </c>
      <c r="J259" s="3">
        <v>189.19</v>
      </c>
    </row>
    <row r="260" spans="1:10" ht="15" thickBot="1" x14ac:dyDescent="0.35">
      <c r="A260" s="1" t="s">
        <v>287</v>
      </c>
      <c r="B260" s="1" t="s">
        <v>17</v>
      </c>
      <c r="C260" s="1" t="s">
        <v>50</v>
      </c>
      <c r="D260" s="1" t="s">
        <v>13</v>
      </c>
      <c r="E260" s="1" t="s">
        <v>14</v>
      </c>
      <c r="F260" s="1" t="s">
        <v>15</v>
      </c>
      <c r="G260" s="2">
        <v>45185</v>
      </c>
      <c r="H260" s="3">
        <v>245</v>
      </c>
      <c r="I260" s="3">
        <v>131.54</v>
      </c>
      <c r="J260" s="3">
        <v>201.82</v>
      </c>
    </row>
    <row r="261" spans="1:10" ht="15" thickBot="1" x14ac:dyDescent="0.35">
      <c r="A261" s="1" t="s">
        <v>288</v>
      </c>
      <c r="B261" s="1" t="s">
        <v>11</v>
      </c>
      <c r="C261" s="1" t="s">
        <v>12</v>
      </c>
      <c r="D261" s="1" t="s">
        <v>27</v>
      </c>
      <c r="E261" s="1" t="s">
        <v>14</v>
      </c>
      <c r="F261" s="1" t="s">
        <v>15</v>
      </c>
      <c r="G261" s="2">
        <v>45186</v>
      </c>
      <c r="H261" s="3">
        <v>349</v>
      </c>
      <c r="I261" s="3">
        <v>154.52000000000001</v>
      </c>
      <c r="J261" s="3">
        <v>51.64</v>
      </c>
    </row>
    <row r="262" spans="1:10" ht="15" thickBot="1" x14ac:dyDescent="0.35">
      <c r="A262" s="1" t="s">
        <v>289</v>
      </c>
      <c r="B262" s="1" t="s">
        <v>22</v>
      </c>
      <c r="C262" s="1" t="s">
        <v>18</v>
      </c>
      <c r="D262" s="1" t="s">
        <v>19</v>
      </c>
      <c r="E262" s="1" t="s">
        <v>24</v>
      </c>
      <c r="F262" s="1" t="s">
        <v>28</v>
      </c>
      <c r="G262" s="2">
        <v>45187</v>
      </c>
      <c r="H262" s="3">
        <v>237</v>
      </c>
      <c r="I262" s="1"/>
      <c r="J262" s="3">
        <v>155.38</v>
      </c>
    </row>
    <row r="263" spans="1:10" ht="15" thickBot="1" x14ac:dyDescent="0.35">
      <c r="A263" s="1" t="s">
        <v>290</v>
      </c>
      <c r="B263" s="1" t="s">
        <v>48</v>
      </c>
      <c r="C263" s="1" t="s">
        <v>50</v>
      </c>
      <c r="D263" s="1" t="s">
        <v>27</v>
      </c>
      <c r="E263" s="1" t="s">
        <v>24</v>
      </c>
      <c r="F263" s="1" t="s">
        <v>15</v>
      </c>
      <c r="G263" s="2">
        <v>45188</v>
      </c>
      <c r="H263" s="3">
        <v>18</v>
      </c>
      <c r="I263" s="3">
        <v>426.33</v>
      </c>
      <c r="J263" s="3">
        <v>258.06</v>
      </c>
    </row>
    <row r="264" spans="1:10" ht="15" thickBot="1" x14ac:dyDescent="0.35">
      <c r="A264" s="1" t="s">
        <v>291</v>
      </c>
      <c r="B264" s="1" t="s">
        <v>22</v>
      </c>
      <c r="C264" s="1" t="s">
        <v>50</v>
      </c>
      <c r="D264" s="1" t="s">
        <v>42</v>
      </c>
      <c r="E264" s="1" t="s">
        <v>24</v>
      </c>
      <c r="F264" s="1" t="s">
        <v>20</v>
      </c>
      <c r="G264" s="2">
        <v>45189</v>
      </c>
      <c r="H264" s="3">
        <v>175</v>
      </c>
      <c r="I264" s="3">
        <v>337.36</v>
      </c>
      <c r="J264" s="3">
        <v>312.60000000000002</v>
      </c>
    </row>
    <row r="265" spans="1:10" ht="15" thickBot="1" x14ac:dyDescent="0.35">
      <c r="A265" s="1" t="s">
        <v>292</v>
      </c>
      <c r="B265" s="1" t="s">
        <v>22</v>
      </c>
      <c r="C265" s="1" t="s">
        <v>18</v>
      </c>
      <c r="D265" s="1"/>
      <c r="E265" s="1" t="s">
        <v>14</v>
      </c>
      <c r="F265" s="1" t="s">
        <v>15</v>
      </c>
      <c r="G265" s="2">
        <v>45190</v>
      </c>
      <c r="H265" s="3">
        <v>441</v>
      </c>
      <c r="I265" s="3">
        <v>405.72</v>
      </c>
      <c r="J265" s="3">
        <v>88.45</v>
      </c>
    </row>
    <row r="266" spans="1:10" ht="15" thickBot="1" x14ac:dyDescent="0.35">
      <c r="A266" s="1" t="s">
        <v>293</v>
      </c>
      <c r="B266" s="1" t="s">
        <v>11</v>
      </c>
      <c r="C266" s="1" t="s">
        <v>12</v>
      </c>
      <c r="D266" s="1" t="s">
        <v>23</v>
      </c>
      <c r="E266" s="1" t="s">
        <v>24</v>
      </c>
      <c r="F266" s="1" t="s">
        <v>28</v>
      </c>
      <c r="G266" s="2">
        <v>45191</v>
      </c>
      <c r="H266" s="3">
        <v>453</v>
      </c>
      <c r="I266" s="3">
        <v>384.49</v>
      </c>
      <c r="J266" s="3">
        <v>56.85</v>
      </c>
    </row>
    <row r="267" spans="1:10" ht="15" thickBot="1" x14ac:dyDescent="0.35">
      <c r="A267" s="1" t="s">
        <v>294</v>
      </c>
      <c r="B267" s="1" t="s">
        <v>48</v>
      </c>
      <c r="C267" s="1" t="s">
        <v>26</v>
      </c>
      <c r="D267" s="1" t="s">
        <v>27</v>
      </c>
      <c r="E267" s="1" t="s">
        <v>14</v>
      </c>
      <c r="F267" s="1" t="s">
        <v>28</v>
      </c>
      <c r="G267" s="2">
        <v>45192</v>
      </c>
      <c r="H267" s="3">
        <v>328</v>
      </c>
      <c r="I267" s="3">
        <v>79.099999999999994</v>
      </c>
      <c r="J267" s="3">
        <v>265.89</v>
      </c>
    </row>
    <row r="268" spans="1:10" ht="15" thickBot="1" x14ac:dyDescent="0.35">
      <c r="A268" s="1" t="s">
        <v>295</v>
      </c>
      <c r="B268" s="1" t="s">
        <v>17</v>
      </c>
      <c r="C268" s="1" t="s">
        <v>50</v>
      </c>
      <c r="D268" s="1" t="s">
        <v>42</v>
      </c>
      <c r="E268" s="1" t="s">
        <v>24</v>
      </c>
      <c r="F268" s="1" t="s">
        <v>28</v>
      </c>
      <c r="G268" s="2">
        <v>45193</v>
      </c>
      <c r="H268" s="3">
        <v>223</v>
      </c>
      <c r="I268" s="3">
        <v>214.85</v>
      </c>
      <c r="J268" s="3">
        <v>2.75</v>
      </c>
    </row>
    <row r="269" spans="1:10" ht="15" thickBot="1" x14ac:dyDescent="0.35">
      <c r="A269" s="1" t="s">
        <v>296</v>
      </c>
      <c r="B269" s="1" t="s">
        <v>17</v>
      </c>
      <c r="C269" s="1" t="s">
        <v>18</v>
      </c>
      <c r="D269" s="1" t="s">
        <v>13</v>
      </c>
      <c r="E269" s="1" t="s">
        <v>14</v>
      </c>
      <c r="F269" s="1" t="s">
        <v>28</v>
      </c>
      <c r="G269" s="2">
        <v>45194</v>
      </c>
      <c r="H269" s="3">
        <v>126</v>
      </c>
      <c r="I269" s="3">
        <v>80.73</v>
      </c>
      <c r="J269" s="3">
        <v>72.989999999999995</v>
      </c>
    </row>
    <row r="270" spans="1:10" ht="15" thickBot="1" x14ac:dyDescent="0.35">
      <c r="A270" s="1" t="s">
        <v>297</v>
      </c>
      <c r="B270" s="1" t="s">
        <v>11</v>
      </c>
      <c r="C270" s="1" t="s">
        <v>31</v>
      </c>
      <c r="D270" s="1" t="s">
        <v>19</v>
      </c>
      <c r="E270" s="1" t="s">
        <v>14</v>
      </c>
      <c r="F270" s="1" t="s">
        <v>28</v>
      </c>
      <c r="G270" s="2">
        <v>45195</v>
      </c>
      <c r="H270" s="3">
        <v>395</v>
      </c>
      <c r="I270" s="3">
        <v>121.44</v>
      </c>
      <c r="J270" s="3">
        <v>13.57</v>
      </c>
    </row>
    <row r="271" spans="1:10" ht="15" thickBot="1" x14ac:dyDescent="0.35">
      <c r="A271" s="1" t="s">
        <v>298</v>
      </c>
      <c r="B271" s="1" t="s">
        <v>11</v>
      </c>
      <c r="C271" s="1" t="s">
        <v>18</v>
      </c>
      <c r="D271" s="1" t="s">
        <v>27</v>
      </c>
      <c r="E271" s="1" t="s">
        <v>24</v>
      </c>
      <c r="F271" s="1" t="s">
        <v>15</v>
      </c>
      <c r="G271" s="2">
        <v>45196</v>
      </c>
      <c r="H271" s="3">
        <v>353</v>
      </c>
      <c r="I271" s="3">
        <v>435.28</v>
      </c>
      <c r="J271" s="3">
        <v>68.42</v>
      </c>
    </row>
    <row r="272" spans="1:10" ht="15" thickBot="1" x14ac:dyDescent="0.35">
      <c r="A272" s="1" t="s">
        <v>299</v>
      </c>
      <c r="B272" s="1" t="s">
        <v>48</v>
      </c>
      <c r="C272" s="1" t="s">
        <v>31</v>
      </c>
      <c r="D272" s="1" t="s">
        <v>27</v>
      </c>
      <c r="E272" s="1" t="s">
        <v>24</v>
      </c>
      <c r="F272" s="1" t="s">
        <v>15</v>
      </c>
      <c r="G272" s="2">
        <v>45197</v>
      </c>
      <c r="H272" s="3">
        <v>81</v>
      </c>
      <c r="I272" s="3">
        <v>239.08</v>
      </c>
      <c r="J272" s="3">
        <v>74.17</v>
      </c>
    </row>
    <row r="273" spans="1:10" ht="15" thickBot="1" x14ac:dyDescent="0.35">
      <c r="A273" s="1" t="s">
        <v>300</v>
      </c>
      <c r="B273" s="1" t="s">
        <v>17</v>
      </c>
      <c r="C273" s="1" t="s">
        <v>12</v>
      </c>
      <c r="D273" s="1" t="s">
        <v>23</v>
      </c>
      <c r="E273" s="1" t="s">
        <v>24</v>
      </c>
      <c r="F273" s="1" t="s">
        <v>15</v>
      </c>
      <c r="G273" s="2">
        <v>45198</v>
      </c>
      <c r="H273" s="3">
        <v>404</v>
      </c>
      <c r="I273" s="3">
        <v>270</v>
      </c>
      <c r="J273" s="3">
        <v>156.29</v>
      </c>
    </row>
    <row r="274" spans="1:10" ht="15" thickBot="1" x14ac:dyDescent="0.35">
      <c r="A274" s="1" t="s">
        <v>301</v>
      </c>
      <c r="B274" s="1" t="s">
        <v>17</v>
      </c>
      <c r="C274" s="1" t="s">
        <v>26</v>
      </c>
      <c r="D274" s="1" t="s">
        <v>23</v>
      </c>
      <c r="E274" s="1" t="s">
        <v>24</v>
      </c>
      <c r="F274" s="1" t="s">
        <v>15</v>
      </c>
      <c r="G274" s="2">
        <v>45199</v>
      </c>
      <c r="H274" s="3">
        <v>73</v>
      </c>
      <c r="I274" s="3">
        <v>93.33</v>
      </c>
      <c r="J274" s="3">
        <v>162.13</v>
      </c>
    </row>
    <row r="275" spans="1:10" ht="15" thickBot="1" x14ac:dyDescent="0.35">
      <c r="A275" s="1" t="s">
        <v>302</v>
      </c>
      <c r="B275" s="1" t="s">
        <v>17</v>
      </c>
      <c r="C275" s="1" t="s">
        <v>18</v>
      </c>
      <c r="D275" s="1" t="s">
        <v>13</v>
      </c>
      <c r="E275" s="1" t="s">
        <v>14</v>
      </c>
      <c r="F275" s="1" t="s">
        <v>28</v>
      </c>
      <c r="G275" s="2">
        <v>45200</v>
      </c>
      <c r="H275" s="3">
        <v>214</v>
      </c>
      <c r="I275" s="3">
        <v>159.57</v>
      </c>
      <c r="J275" s="3">
        <v>349.96</v>
      </c>
    </row>
    <row r="276" spans="1:10" ht="15" thickBot="1" x14ac:dyDescent="0.35">
      <c r="A276" s="1" t="s">
        <v>303</v>
      </c>
      <c r="B276" s="1" t="s">
        <v>22</v>
      </c>
      <c r="C276" s="1" t="s">
        <v>50</v>
      </c>
      <c r="D276" s="1" t="s">
        <v>13</v>
      </c>
      <c r="E276" s="1" t="s">
        <v>24</v>
      </c>
      <c r="F276" s="1" t="s">
        <v>20</v>
      </c>
      <c r="G276" s="2">
        <v>45201</v>
      </c>
      <c r="H276" s="3">
        <v>218</v>
      </c>
      <c r="I276" s="3">
        <v>118.97</v>
      </c>
      <c r="J276" s="3">
        <v>205.02</v>
      </c>
    </row>
    <row r="277" spans="1:10" ht="15" thickBot="1" x14ac:dyDescent="0.35">
      <c r="A277" s="1" t="s">
        <v>304</v>
      </c>
      <c r="B277" s="1" t="s">
        <v>17</v>
      </c>
      <c r="C277" s="1" t="s">
        <v>12</v>
      </c>
      <c r="D277" s="1" t="s">
        <v>42</v>
      </c>
      <c r="E277" s="1" t="s">
        <v>24</v>
      </c>
      <c r="F277" s="1" t="s">
        <v>15</v>
      </c>
      <c r="G277" s="2">
        <v>45202</v>
      </c>
      <c r="H277" s="3">
        <v>81</v>
      </c>
      <c r="I277" s="3">
        <v>107.06</v>
      </c>
      <c r="J277" s="3">
        <v>289.92</v>
      </c>
    </row>
    <row r="278" spans="1:10" ht="15" thickBot="1" x14ac:dyDescent="0.35">
      <c r="A278" s="1" t="s">
        <v>305</v>
      </c>
      <c r="B278" s="1" t="s">
        <v>22</v>
      </c>
      <c r="C278" s="1" t="s">
        <v>18</v>
      </c>
      <c r="D278" s="1" t="s">
        <v>42</v>
      </c>
      <c r="E278" s="1" t="s">
        <v>24</v>
      </c>
      <c r="F278" s="1" t="s">
        <v>20</v>
      </c>
      <c r="G278" s="2">
        <v>45203</v>
      </c>
      <c r="H278" s="3">
        <v>286</v>
      </c>
      <c r="I278" s="3">
        <v>320.79000000000002</v>
      </c>
      <c r="J278" s="3">
        <v>43.45</v>
      </c>
    </row>
    <row r="279" spans="1:10" ht="15" thickBot="1" x14ac:dyDescent="0.35">
      <c r="A279" s="1" t="s">
        <v>306</v>
      </c>
      <c r="B279" s="1" t="s">
        <v>48</v>
      </c>
      <c r="C279" s="1" t="s">
        <v>50</v>
      </c>
      <c r="D279" s="1" t="s">
        <v>13</v>
      </c>
      <c r="E279" s="1" t="s">
        <v>14</v>
      </c>
      <c r="F279" s="1" t="s">
        <v>15</v>
      </c>
      <c r="G279" s="2">
        <v>45204</v>
      </c>
      <c r="H279" s="3">
        <v>283</v>
      </c>
      <c r="I279" s="3">
        <v>132.16</v>
      </c>
      <c r="J279" s="3">
        <v>91.72</v>
      </c>
    </row>
    <row r="280" spans="1:10" ht="15" thickBot="1" x14ac:dyDescent="0.35">
      <c r="A280" s="1" t="s">
        <v>307</v>
      </c>
      <c r="B280" s="1" t="s">
        <v>22</v>
      </c>
      <c r="C280" s="1" t="s">
        <v>18</v>
      </c>
      <c r="D280" s="1" t="s">
        <v>13</v>
      </c>
      <c r="E280" s="1" t="s">
        <v>14</v>
      </c>
      <c r="F280" s="1" t="s">
        <v>15</v>
      </c>
      <c r="G280" s="2">
        <v>45205</v>
      </c>
      <c r="H280" s="3">
        <v>487</v>
      </c>
      <c r="I280" s="3">
        <v>317.85000000000002</v>
      </c>
      <c r="J280" s="3">
        <v>281.77</v>
      </c>
    </row>
    <row r="281" spans="1:10" ht="15" thickBot="1" x14ac:dyDescent="0.35">
      <c r="A281" s="1" t="s">
        <v>308</v>
      </c>
      <c r="B281" s="1" t="s">
        <v>48</v>
      </c>
      <c r="C281" s="1" t="s">
        <v>31</v>
      </c>
      <c r="D281" s="1" t="s">
        <v>19</v>
      </c>
      <c r="E281" s="1" t="s">
        <v>24</v>
      </c>
      <c r="F281" s="1" t="s">
        <v>20</v>
      </c>
      <c r="G281" s="2">
        <v>45206</v>
      </c>
      <c r="H281" s="3">
        <v>329</v>
      </c>
      <c r="I281" s="3">
        <v>33.94</v>
      </c>
      <c r="J281" s="3">
        <v>23.02</v>
      </c>
    </row>
    <row r="282" spans="1:10" ht="15" thickBot="1" x14ac:dyDescent="0.35">
      <c r="A282" s="1" t="s">
        <v>309</v>
      </c>
      <c r="B282" s="1" t="s">
        <v>17</v>
      </c>
      <c r="C282" s="1" t="s">
        <v>18</v>
      </c>
      <c r="D282" s="1" t="s">
        <v>23</v>
      </c>
      <c r="E282" s="1" t="s">
        <v>14</v>
      </c>
      <c r="F282" s="1" t="s">
        <v>28</v>
      </c>
      <c r="G282" s="2">
        <v>45207</v>
      </c>
      <c r="H282" s="3">
        <v>347</v>
      </c>
      <c r="I282" s="3">
        <v>75.180000000000007</v>
      </c>
      <c r="J282" s="3">
        <v>195.67</v>
      </c>
    </row>
    <row r="283" spans="1:10" ht="15" thickBot="1" x14ac:dyDescent="0.35">
      <c r="A283" s="1" t="s">
        <v>310</v>
      </c>
      <c r="B283" s="1" t="s">
        <v>17</v>
      </c>
      <c r="C283" s="1" t="s">
        <v>18</v>
      </c>
      <c r="D283" s="1" t="s">
        <v>42</v>
      </c>
      <c r="E283" s="1" t="s">
        <v>24</v>
      </c>
      <c r="F283" s="1" t="s">
        <v>15</v>
      </c>
      <c r="G283" s="2">
        <v>45208</v>
      </c>
      <c r="H283" s="3">
        <v>375</v>
      </c>
      <c r="I283" s="3">
        <v>140.9</v>
      </c>
      <c r="J283" s="3">
        <v>240.55</v>
      </c>
    </row>
    <row r="284" spans="1:10" ht="15" thickBot="1" x14ac:dyDescent="0.35">
      <c r="A284" s="1" t="s">
        <v>311</v>
      </c>
      <c r="B284" s="1" t="s">
        <v>48</v>
      </c>
      <c r="C284" s="1" t="s">
        <v>18</v>
      </c>
      <c r="D284" s="1" t="s">
        <v>23</v>
      </c>
      <c r="E284" s="1" t="s">
        <v>14</v>
      </c>
      <c r="F284" s="1" t="s">
        <v>15</v>
      </c>
      <c r="G284" s="2">
        <v>45209</v>
      </c>
      <c r="H284" s="3">
        <v>104</v>
      </c>
      <c r="I284" s="3">
        <v>300.54000000000002</v>
      </c>
      <c r="J284" s="3">
        <v>241.65</v>
      </c>
    </row>
    <row r="285" spans="1:10" ht="15" thickBot="1" x14ac:dyDescent="0.35">
      <c r="A285" s="1" t="s">
        <v>312</v>
      </c>
      <c r="B285" s="1" t="s">
        <v>11</v>
      </c>
      <c r="C285" s="1" t="s">
        <v>12</v>
      </c>
      <c r="D285" s="1"/>
      <c r="E285" s="1" t="s">
        <v>14</v>
      </c>
      <c r="F285" s="1" t="s">
        <v>15</v>
      </c>
      <c r="G285" s="2">
        <v>45210</v>
      </c>
      <c r="H285" s="3">
        <v>175</v>
      </c>
      <c r="I285" s="3">
        <v>339.54</v>
      </c>
      <c r="J285" s="3">
        <v>11.13</v>
      </c>
    </row>
    <row r="286" spans="1:10" ht="15" thickBot="1" x14ac:dyDescent="0.35">
      <c r="A286" s="1" t="s">
        <v>313</v>
      </c>
      <c r="B286" s="1" t="s">
        <v>48</v>
      </c>
      <c r="C286" s="1" t="s">
        <v>18</v>
      </c>
      <c r="D286" s="1" t="s">
        <v>13</v>
      </c>
      <c r="E286" s="1" t="s">
        <v>14</v>
      </c>
      <c r="F286" s="1" t="s">
        <v>20</v>
      </c>
      <c r="G286" s="2">
        <v>45211</v>
      </c>
      <c r="H286" s="3">
        <v>41</v>
      </c>
      <c r="I286" s="3">
        <v>224.14</v>
      </c>
      <c r="J286" s="3">
        <v>130.19999999999999</v>
      </c>
    </row>
    <row r="287" spans="1:10" ht="15" thickBot="1" x14ac:dyDescent="0.35">
      <c r="A287" s="1" t="s">
        <v>314</v>
      </c>
      <c r="B287" s="1" t="s">
        <v>11</v>
      </c>
      <c r="C287" s="1" t="s">
        <v>50</v>
      </c>
      <c r="D287" s="1" t="s">
        <v>19</v>
      </c>
      <c r="E287" s="1" t="s">
        <v>14</v>
      </c>
      <c r="F287" s="1" t="s">
        <v>28</v>
      </c>
      <c r="G287" s="2">
        <v>45212</v>
      </c>
      <c r="H287" s="3">
        <v>20</v>
      </c>
      <c r="I287" s="3">
        <v>225.67</v>
      </c>
      <c r="J287" s="3">
        <v>255.32</v>
      </c>
    </row>
    <row r="288" spans="1:10" ht="15" thickBot="1" x14ac:dyDescent="0.35">
      <c r="A288" s="1" t="s">
        <v>315</v>
      </c>
      <c r="B288" s="1" t="s">
        <v>22</v>
      </c>
      <c r="C288" s="1" t="s">
        <v>31</v>
      </c>
      <c r="D288" s="1" t="s">
        <v>27</v>
      </c>
      <c r="E288" s="1" t="s">
        <v>24</v>
      </c>
      <c r="F288" s="1" t="s">
        <v>20</v>
      </c>
      <c r="G288" s="2">
        <v>45213</v>
      </c>
      <c r="H288" s="3">
        <v>310</v>
      </c>
      <c r="I288" s="3">
        <v>363.64</v>
      </c>
      <c r="J288" s="3">
        <v>61.3</v>
      </c>
    </row>
    <row r="289" spans="1:10" ht="15" thickBot="1" x14ac:dyDescent="0.35">
      <c r="A289" s="1" t="s">
        <v>316</v>
      </c>
      <c r="B289" s="1" t="s">
        <v>22</v>
      </c>
      <c r="C289" s="1" t="s">
        <v>31</v>
      </c>
      <c r="D289" s="1" t="s">
        <v>19</v>
      </c>
      <c r="E289" s="1" t="s">
        <v>24</v>
      </c>
      <c r="F289" s="1" t="s">
        <v>20</v>
      </c>
      <c r="G289" s="2">
        <v>45214</v>
      </c>
      <c r="H289" s="3">
        <v>226</v>
      </c>
      <c r="I289" s="1"/>
      <c r="J289" s="3">
        <v>278.77999999999997</v>
      </c>
    </row>
    <row r="290" spans="1:10" ht="15" thickBot="1" x14ac:dyDescent="0.35">
      <c r="A290" s="1" t="s">
        <v>317</v>
      </c>
      <c r="B290" s="1" t="s">
        <v>22</v>
      </c>
      <c r="C290" s="1" t="s">
        <v>18</v>
      </c>
      <c r="D290" s="1" t="s">
        <v>19</v>
      </c>
      <c r="E290" s="1" t="s">
        <v>24</v>
      </c>
      <c r="F290" s="1" t="s">
        <v>28</v>
      </c>
      <c r="G290" s="2">
        <v>45215</v>
      </c>
      <c r="H290" s="1"/>
      <c r="I290" s="3">
        <v>173.84</v>
      </c>
      <c r="J290" s="3">
        <v>298.88</v>
      </c>
    </row>
    <row r="291" spans="1:10" ht="15" thickBot="1" x14ac:dyDescent="0.35">
      <c r="A291" s="1" t="s">
        <v>318</v>
      </c>
      <c r="B291" s="1" t="s">
        <v>17</v>
      </c>
      <c r="C291" s="1" t="s">
        <v>12</v>
      </c>
      <c r="D291" s="1" t="s">
        <v>23</v>
      </c>
      <c r="E291" s="1" t="s">
        <v>14</v>
      </c>
      <c r="F291" s="1" t="s">
        <v>20</v>
      </c>
      <c r="G291" s="2">
        <v>45216</v>
      </c>
      <c r="H291" s="3">
        <v>111</v>
      </c>
      <c r="I291" s="3">
        <v>410.26</v>
      </c>
      <c r="J291" s="3">
        <v>392.82</v>
      </c>
    </row>
    <row r="292" spans="1:10" ht="15" thickBot="1" x14ac:dyDescent="0.35">
      <c r="A292" s="1" t="s">
        <v>319</v>
      </c>
      <c r="B292" s="1" t="s">
        <v>22</v>
      </c>
      <c r="C292" s="1" t="s">
        <v>12</v>
      </c>
      <c r="D292" s="1" t="s">
        <v>19</v>
      </c>
      <c r="E292" s="1" t="s">
        <v>24</v>
      </c>
      <c r="F292" s="1" t="s">
        <v>28</v>
      </c>
      <c r="G292" s="2">
        <v>45217</v>
      </c>
      <c r="H292" s="3">
        <v>434</v>
      </c>
      <c r="I292" s="3">
        <v>303.58999999999997</v>
      </c>
      <c r="J292" s="3">
        <v>85.52</v>
      </c>
    </row>
    <row r="293" spans="1:10" ht="15" thickBot="1" x14ac:dyDescent="0.35">
      <c r="A293" s="1" t="s">
        <v>320</v>
      </c>
      <c r="B293" s="1" t="s">
        <v>11</v>
      </c>
      <c r="C293" s="1" t="s">
        <v>50</v>
      </c>
      <c r="D293" s="1" t="s">
        <v>42</v>
      </c>
      <c r="E293" s="1" t="s">
        <v>24</v>
      </c>
      <c r="F293" s="1" t="s">
        <v>15</v>
      </c>
      <c r="G293" s="2">
        <v>45218</v>
      </c>
      <c r="H293" s="3">
        <v>401</v>
      </c>
      <c r="I293" s="3">
        <v>171.93</v>
      </c>
      <c r="J293" s="3">
        <v>330.4</v>
      </c>
    </row>
    <row r="294" spans="1:10" ht="15" thickBot="1" x14ac:dyDescent="0.35">
      <c r="A294" s="1" t="s">
        <v>321</v>
      </c>
      <c r="B294" s="1" t="s">
        <v>22</v>
      </c>
      <c r="C294" s="1" t="s">
        <v>18</v>
      </c>
      <c r="D294" s="1" t="s">
        <v>23</v>
      </c>
      <c r="E294" s="1" t="s">
        <v>24</v>
      </c>
      <c r="F294" s="1" t="s">
        <v>28</v>
      </c>
      <c r="G294" s="2">
        <v>45219</v>
      </c>
      <c r="H294" s="3">
        <v>276</v>
      </c>
      <c r="I294" s="3">
        <v>453.23</v>
      </c>
      <c r="J294" s="3">
        <v>209.08</v>
      </c>
    </row>
    <row r="295" spans="1:10" ht="15" thickBot="1" x14ac:dyDescent="0.35">
      <c r="A295" s="1" t="s">
        <v>322</v>
      </c>
      <c r="B295" s="1" t="s">
        <v>48</v>
      </c>
      <c r="C295" s="1" t="s">
        <v>31</v>
      </c>
      <c r="D295" s="1" t="s">
        <v>42</v>
      </c>
      <c r="E295" s="1" t="s">
        <v>14</v>
      </c>
      <c r="F295" s="1" t="s">
        <v>15</v>
      </c>
      <c r="G295" s="2">
        <v>45220</v>
      </c>
      <c r="H295" s="1"/>
      <c r="I295" s="3">
        <v>387.45</v>
      </c>
      <c r="J295" s="3">
        <v>150.63999999999999</v>
      </c>
    </row>
    <row r="296" spans="1:10" ht="15" thickBot="1" x14ac:dyDescent="0.35">
      <c r="A296" s="1" t="s">
        <v>323</v>
      </c>
      <c r="B296" s="1" t="s">
        <v>48</v>
      </c>
      <c r="C296" s="1" t="s">
        <v>12</v>
      </c>
      <c r="D296" s="1" t="s">
        <v>27</v>
      </c>
      <c r="E296" s="1" t="s">
        <v>14</v>
      </c>
      <c r="F296" s="1" t="s">
        <v>20</v>
      </c>
      <c r="G296" s="2">
        <v>45221</v>
      </c>
      <c r="H296" s="3">
        <v>188</v>
      </c>
      <c r="I296" s="3">
        <v>136.12</v>
      </c>
      <c r="J296" s="3">
        <v>50.71</v>
      </c>
    </row>
    <row r="297" spans="1:10" ht="15" thickBot="1" x14ac:dyDescent="0.35">
      <c r="A297" s="1" t="s">
        <v>324</v>
      </c>
      <c r="B297" s="1" t="s">
        <v>17</v>
      </c>
      <c r="C297" s="1" t="s">
        <v>18</v>
      </c>
      <c r="D297" s="1" t="s">
        <v>23</v>
      </c>
      <c r="E297" s="1" t="s">
        <v>14</v>
      </c>
      <c r="F297" s="1" t="s">
        <v>20</v>
      </c>
      <c r="G297" s="2">
        <v>45222</v>
      </c>
      <c r="H297" s="3">
        <v>97</v>
      </c>
      <c r="I297" s="3">
        <v>324.42</v>
      </c>
      <c r="J297" s="3">
        <v>294.73</v>
      </c>
    </row>
    <row r="298" spans="1:10" ht="15" thickBot="1" x14ac:dyDescent="0.35">
      <c r="A298" s="1" t="s">
        <v>325</v>
      </c>
      <c r="B298" s="1" t="s">
        <v>48</v>
      </c>
      <c r="C298" s="1" t="s">
        <v>12</v>
      </c>
      <c r="D298" s="1" t="s">
        <v>27</v>
      </c>
      <c r="E298" s="1" t="s">
        <v>24</v>
      </c>
      <c r="F298" s="1" t="s">
        <v>15</v>
      </c>
      <c r="G298" s="2">
        <v>45223</v>
      </c>
      <c r="H298" s="3">
        <v>50</v>
      </c>
      <c r="I298" s="3">
        <v>299.89999999999998</v>
      </c>
      <c r="J298" s="3">
        <v>95.87</v>
      </c>
    </row>
    <row r="299" spans="1:10" ht="15" thickBot="1" x14ac:dyDescent="0.35">
      <c r="A299" s="1" t="s">
        <v>326</v>
      </c>
      <c r="B299" s="1" t="s">
        <v>11</v>
      </c>
      <c r="C299" s="1" t="s">
        <v>12</v>
      </c>
      <c r="D299" s="1" t="s">
        <v>23</v>
      </c>
      <c r="E299" s="1" t="s">
        <v>24</v>
      </c>
      <c r="F299" s="1" t="s">
        <v>20</v>
      </c>
      <c r="G299" s="2">
        <v>45224</v>
      </c>
      <c r="H299" s="3">
        <v>410</v>
      </c>
      <c r="I299" s="3">
        <v>203.59</v>
      </c>
      <c r="J299" s="3">
        <v>149.83000000000001</v>
      </c>
    </row>
    <row r="300" spans="1:10" ht="15" thickBot="1" x14ac:dyDescent="0.35">
      <c r="A300" s="1" t="s">
        <v>327</v>
      </c>
      <c r="B300" s="1" t="s">
        <v>22</v>
      </c>
      <c r="C300" s="1" t="s">
        <v>31</v>
      </c>
      <c r="D300" s="1" t="s">
        <v>13</v>
      </c>
      <c r="E300" s="1" t="s">
        <v>24</v>
      </c>
      <c r="F300" s="1" t="s">
        <v>28</v>
      </c>
      <c r="G300" s="2">
        <v>45225</v>
      </c>
      <c r="H300" s="3">
        <v>85</v>
      </c>
      <c r="I300" s="3">
        <v>186.64</v>
      </c>
      <c r="J300" s="3">
        <v>26.89</v>
      </c>
    </row>
    <row r="301" spans="1:10" ht="15" thickBot="1" x14ac:dyDescent="0.35">
      <c r="A301" s="1" t="s">
        <v>328</v>
      </c>
      <c r="B301" s="1" t="s">
        <v>17</v>
      </c>
      <c r="C301" s="1" t="s">
        <v>26</v>
      </c>
      <c r="D301" s="1" t="s">
        <v>19</v>
      </c>
      <c r="E301" s="1" t="s">
        <v>14</v>
      </c>
      <c r="F301" s="1" t="s">
        <v>15</v>
      </c>
      <c r="G301" s="2">
        <v>45226</v>
      </c>
      <c r="H301" s="3">
        <v>386</v>
      </c>
      <c r="I301" s="3">
        <v>175.06</v>
      </c>
      <c r="J301" s="3">
        <v>320.94</v>
      </c>
    </row>
    <row r="302" spans="1:10" ht="15" thickBot="1" x14ac:dyDescent="0.35">
      <c r="A302" s="1" t="s">
        <v>329</v>
      </c>
      <c r="B302" s="1" t="s">
        <v>22</v>
      </c>
      <c r="C302" s="1" t="s">
        <v>50</v>
      </c>
      <c r="D302" s="1" t="s">
        <v>13</v>
      </c>
      <c r="E302" s="1" t="s">
        <v>14</v>
      </c>
      <c r="F302" s="1" t="s">
        <v>20</v>
      </c>
      <c r="G302" s="2">
        <v>45227</v>
      </c>
      <c r="H302" s="3">
        <v>55</v>
      </c>
      <c r="I302" s="3">
        <v>310.49</v>
      </c>
      <c r="J302" s="3">
        <v>307.10000000000002</v>
      </c>
    </row>
    <row r="303" spans="1:10" ht="15" thickBot="1" x14ac:dyDescent="0.35">
      <c r="A303" s="1" t="s">
        <v>330</v>
      </c>
      <c r="B303" s="1" t="s">
        <v>22</v>
      </c>
      <c r="C303" s="1" t="s">
        <v>50</v>
      </c>
      <c r="D303" s="1" t="s">
        <v>27</v>
      </c>
      <c r="E303" s="1" t="s">
        <v>24</v>
      </c>
      <c r="F303" s="1" t="s">
        <v>15</v>
      </c>
      <c r="G303" s="2">
        <v>45228</v>
      </c>
      <c r="H303" s="3">
        <v>169</v>
      </c>
      <c r="I303" s="3">
        <v>223.99</v>
      </c>
      <c r="J303" s="3">
        <v>293.98</v>
      </c>
    </row>
    <row r="304" spans="1:10" ht="15" thickBot="1" x14ac:dyDescent="0.35">
      <c r="A304" s="1" t="s">
        <v>331</v>
      </c>
      <c r="B304" s="1" t="s">
        <v>11</v>
      </c>
      <c r="C304" s="1" t="s">
        <v>31</v>
      </c>
      <c r="D304" s="1" t="s">
        <v>19</v>
      </c>
      <c r="E304" s="1" t="s">
        <v>14</v>
      </c>
      <c r="F304" s="1" t="s">
        <v>28</v>
      </c>
      <c r="G304" s="2">
        <v>45229</v>
      </c>
      <c r="H304" s="3">
        <v>472</v>
      </c>
      <c r="I304" s="3">
        <v>416.77</v>
      </c>
      <c r="J304" s="3">
        <v>121.18</v>
      </c>
    </row>
    <row r="305" spans="1:10" ht="15" thickBot="1" x14ac:dyDescent="0.35">
      <c r="A305" s="1" t="s">
        <v>332</v>
      </c>
      <c r="B305" s="1" t="s">
        <v>48</v>
      </c>
      <c r="C305" s="1" t="s">
        <v>12</v>
      </c>
      <c r="D305" s="1" t="s">
        <v>23</v>
      </c>
      <c r="E305" s="1" t="s">
        <v>14</v>
      </c>
      <c r="F305" s="1" t="s">
        <v>28</v>
      </c>
      <c r="G305" s="2">
        <v>45230</v>
      </c>
      <c r="H305" s="3">
        <v>89</v>
      </c>
      <c r="I305" s="3">
        <v>336.45</v>
      </c>
      <c r="J305" s="3">
        <v>71.05</v>
      </c>
    </row>
    <row r="306" spans="1:10" ht="15" thickBot="1" x14ac:dyDescent="0.35">
      <c r="A306" s="1" t="s">
        <v>333</v>
      </c>
      <c r="B306" s="1" t="s">
        <v>48</v>
      </c>
      <c r="C306" s="1" t="s">
        <v>18</v>
      </c>
      <c r="D306" s="1" t="s">
        <v>19</v>
      </c>
      <c r="E306" s="1" t="s">
        <v>14</v>
      </c>
      <c r="F306" s="1" t="s">
        <v>20</v>
      </c>
      <c r="G306" s="2">
        <v>45231</v>
      </c>
      <c r="H306" s="3">
        <v>319</v>
      </c>
      <c r="I306" s="3">
        <v>39.619999999999997</v>
      </c>
      <c r="J306" s="3">
        <v>255.75</v>
      </c>
    </row>
    <row r="307" spans="1:10" ht="15" thickBot="1" x14ac:dyDescent="0.35">
      <c r="A307" s="1" t="s">
        <v>334</v>
      </c>
      <c r="B307" s="1" t="s">
        <v>22</v>
      </c>
      <c r="C307" s="1" t="s">
        <v>12</v>
      </c>
      <c r="D307" s="1"/>
      <c r="E307" s="1" t="s">
        <v>14</v>
      </c>
      <c r="F307" s="1" t="s">
        <v>28</v>
      </c>
      <c r="G307" s="2">
        <v>45232</v>
      </c>
      <c r="H307" s="3">
        <v>95</v>
      </c>
      <c r="I307" s="3">
        <v>321.88</v>
      </c>
      <c r="J307" s="3">
        <v>199.47</v>
      </c>
    </row>
    <row r="308" spans="1:10" ht="15" thickBot="1" x14ac:dyDescent="0.35">
      <c r="A308" s="1" t="s">
        <v>335</v>
      </c>
      <c r="B308" s="1" t="s">
        <v>17</v>
      </c>
      <c r="C308" s="1" t="s">
        <v>31</v>
      </c>
      <c r="D308" s="1"/>
      <c r="E308" s="1" t="s">
        <v>24</v>
      </c>
      <c r="F308" s="1" t="s">
        <v>15</v>
      </c>
      <c r="G308" s="2">
        <v>45233</v>
      </c>
      <c r="H308" s="3">
        <v>101</v>
      </c>
      <c r="I308" s="3">
        <v>139.22</v>
      </c>
      <c r="J308" s="3">
        <v>72.94</v>
      </c>
    </row>
    <row r="309" spans="1:10" ht="15" thickBot="1" x14ac:dyDescent="0.35">
      <c r="A309" s="1" t="s">
        <v>336</v>
      </c>
      <c r="B309" s="1" t="s">
        <v>48</v>
      </c>
      <c r="C309" s="1" t="s">
        <v>50</v>
      </c>
      <c r="D309" s="1"/>
      <c r="E309" s="1" t="s">
        <v>14</v>
      </c>
      <c r="F309" s="1" t="s">
        <v>28</v>
      </c>
      <c r="G309" s="2">
        <v>45234</v>
      </c>
      <c r="H309" s="3">
        <v>157</v>
      </c>
      <c r="I309" s="1"/>
      <c r="J309" s="3">
        <v>274.99</v>
      </c>
    </row>
    <row r="310" spans="1:10" ht="15" thickBot="1" x14ac:dyDescent="0.35">
      <c r="A310" s="1" t="s">
        <v>337</v>
      </c>
      <c r="B310" s="1" t="s">
        <v>17</v>
      </c>
      <c r="C310" s="1" t="s">
        <v>12</v>
      </c>
      <c r="D310" s="1" t="s">
        <v>19</v>
      </c>
      <c r="E310" s="1" t="s">
        <v>14</v>
      </c>
      <c r="F310" s="1" t="s">
        <v>15</v>
      </c>
      <c r="G310" s="2">
        <v>45235</v>
      </c>
      <c r="H310" s="3">
        <v>170</v>
      </c>
      <c r="I310" s="3">
        <v>341.67</v>
      </c>
      <c r="J310" s="3">
        <v>396.47</v>
      </c>
    </row>
    <row r="311" spans="1:10" ht="15" thickBot="1" x14ac:dyDescent="0.35">
      <c r="A311" s="1" t="s">
        <v>338</v>
      </c>
      <c r="B311" s="1" t="s">
        <v>48</v>
      </c>
      <c r="C311" s="1" t="s">
        <v>50</v>
      </c>
      <c r="D311" s="1" t="s">
        <v>42</v>
      </c>
      <c r="E311" s="1" t="s">
        <v>14</v>
      </c>
      <c r="F311" s="1" t="s">
        <v>15</v>
      </c>
      <c r="G311" s="2">
        <v>45236</v>
      </c>
      <c r="H311" s="3">
        <v>211</v>
      </c>
      <c r="I311" s="3">
        <v>119.26</v>
      </c>
      <c r="J311" s="3">
        <v>299.39</v>
      </c>
    </row>
    <row r="312" spans="1:10" ht="15" thickBot="1" x14ac:dyDescent="0.35">
      <c r="A312" s="1" t="s">
        <v>339</v>
      </c>
      <c r="B312" s="1" t="s">
        <v>17</v>
      </c>
      <c r="C312" s="1" t="s">
        <v>18</v>
      </c>
      <c r="D312" s="1" t="s">
        <v>27</v>
      </c>
      <c r="E312" s="1" t="s">
        <v>14</v>
      </c>
      <c r="F312" s="1" t="s">
        <v>28</v>
      </c>
      <c r="G312" s="2">
        <v>45237</v>
      </c>
      <c r="H312" s="3">
        <v>433</v>
      </c>
      <c r="I312" s="3">
        <v>231.15</v>
      </c>
      <c r="J312" s="3">
        <v>296.51</v>
      </c>
    </row>
    <row r="313" spans="1:10" ht="15" thickBot="1" x14ac:dyDescent="0.35">
      <c r="A313" s="1" t="s">
        <v>340</v>
      </c>
      <c r="B313" s="1" t="s">
        <v>11</v>
      </c>
      <c r="C313" s="1" t="s">
        <v>50</v>
      </c>
      <c r="D313" s="1" t="s">
        <v>13</v>
      </c>
      <c r="E313" s="1" t="s">
        <v>24</v>
      </c>
      <c r="F313" s="1" t="s">
        <v>20</v>
      </c>
      <c r="G313" s="2">
        <v>45238</v>
      </c>
      <c r="H313" s="3">
        <v>425</v>
      </c>
      <c r="I313" s="3">
        <v>99.21</v>
      </c>
      <c r="J313" s="3">
        <v>380.22</v>
      </c>
    </row>
    <row r="314" spans="1:10" ht="15" thickBot="1" x14ac:dyDescent="0.35">
      <c r="A314" s="1" t="s">
        <v>341</v>
      </c>
      <c r="B314" s="1" t="s">
        <v>17</v>
      </c>
      <c r="C314" s="1" t="s">
        <v>50</v>
      </c>
      <c r="D314" s="1" t="s">
        <v>23</v>
      </c>
      <c r="E314" s="1" t="s">
        <v>24</v>
      </c>
      <c r="F314" s="1" t="s">
        <v>28</v>
      </c>
      <c r="G314" s="2">
        <v>45239</v>
      </c>
      <c r="H314" s="3">
        <v>251</v>
      </c>
      <c r="I314" s="3">
        <v>30.91</v>
      </c>
      <c r="J314" s="3">
        <v>82.77</v>
      </c>
    </row>
    <row r="315" spans="1:10" ht="15" thickBot="1" x14ac:dyDescent="0.35">
      <c r="A315" s="1" t="s">
        <v>342</v>
      </c>
      <c r="B315" s="1" t="s">
        <v>11</v>
      </c>
      <c r="C315" s="1" t="s">
        <v>26</v>
      </c>
      <c r="D315" s="1" t="s">
        <v>19</v>
      </c>
      <c r="E315" s="1" t="s">
        <v>14</v>
      </c>
      <c r="F315" s="1" t="s">
        <v>15</v>
      </c>
      <c r="G315" s="2">
        <v>45240</v>
      </c>
      <c r="H315" s="1"/>
      <c r="I315" s="3">
        <v>192.35</v>
      </c>
      <c r="J315" s="3">
        <v>227.09</v>
      </c>
    </row>
    <row r="316" spans="1:10" ht="15" thickBot="1" x14ac:dyDescent="0.35">
      <c r="A316" s="1" t="s">
        <v>343</v>
      </c>
      <c r="B316" s="1" t="s">
        <v>11</v>
      </c>
      <c r="C316" s="1" t="s">
        <v>26</v>
      </c>
      <c r="D316" s="1" t="s">
        <v>13</v>
      </c>
      <c r="E316" s="1" t="s">
        <v>14</v>
      </c>
      <c r="F316" s="1" t="s">
        <v>15</v>
      </c>
      <c r="G316" s="2">
        <v>45241</v>
      </c>
      <c r="H316" s="3">
        <v>11</v>
      </c>
      <c r="I316" s="3">
        <v>184.66</v>
      </c>
      <c r="J316" s="3">
        <v>391.9</v>
      </c>
    </row>
    <row r="317" spans="1:10" ht="15" thickBot="1" x14ac:dyDescent="0.35">
      <c r="A317" s="1" t="s">
        <v>344</v>
      </c>
      <c r="B317" s="1" t="s">
        <v>17</v>
      </c>
      <c r="C317" s="1" t="s">
        <v>26</v>
      </c>
      <c r="D317" s="1" t="s">
        <v>23</v>
      </c>
      <c r="E317" s="1" t="s">
        <v>14</v>
      </c>
      <c r="F317" s="1" t="s">
        <v>28</v>
      </c>
      <c r="G317" s="2">
        <v>45242</v>
      </c>
      <c r="H317" s="3">
        <v>234</v>
      </c>
      <c r="I317" s="3">
        <v>497.76</v>
      </c>
      <c r="J317" s="3">
        <v>67.790000000000006</v>
      </c>
    </row>
    <row r="318" spans="1:10" ht="15" thickBot="1" x14ac:dyDescent="0.35">
      <c r="A318" s="1" t="s">
        <v>345</v>
      </c>
      <c r="B318" s="1" t="s">
        <v>11</v>
      </c>
      <c r="C318" s="1" t="s">
        <v>50</v>
      </c>
      <c r="D318" s="1" t="s">
        <v>23</v>
      </c>
      <c r="E318" s="1" t="s">
        <v>14</v>
      </c>
      <c r="F318" s="1" t="s">
        <v>20</v>
      </c>
      <c r="G318" s="2">
        <v>45243</v>
      </c>
      <c r="H318" s="1"/>
      <c r="I318" s="3">
        <v>225.94</v>
      </c>
      <c r="J318" s="3">
        <v>280.7</v>
      </c>
    </row>
    <row r="319" spans="1:10" ht="15" thickBot="1" x14ac:dyDescent="0.35">
      <c r="A319" s="1" t="s">
        <v>346</v>
      </c>
      <c r="B319" s="1" t="s">
        <v>22</v>
      </c>
      <c r="C319" s="1" t="s">
        <v>31</v>
      </c>
      <c r="D319" s="1" t="s">
        <v>42</v>
      </c>
      <c r="E319" s="1" t="s">
        <v>14</v>
      </c>
      <c r="F319" s="1" t="s">
        <v>20</v>
      </c>
      <c r="G319" s="2">
        <v>45244</v>
      </c>
      <c r="H319" s="3">
        <v>242</v>
      </c>
      <c r="I319" s="3">
        <v>170.12</v>
      </c>
      <c r="J319" s="3">
        <v>235.15</v>
      </c>
    </row>
    <row r="320" spans="1:10" ht="15" thickBot="1" x14ac:dyDescent="0.35">
      <c r="A320" s="1" t="s">
        <v>347</v>
      </c>
      <c r="B320" s="1" t="s">
        <v>11</v>
      </c>
      <c r="C320" s="1" t="s">
        <v>50</v>
      </c>
      <c r="D320" s="1" t="s">
        <v>27</v>
      </c>
      <c r="E320" s="1" t="s">
        <v>14</v>
      </c>
      <c r="F320" s="1" t="s">
        <v>15</v>
      </c>
      <c r="G320" s="2">
        <v>45245</v>
      </c>
      <c r="H320" s="3">
        <v>470</v>
      </c>
      <c r="I320" s="3">
        <v>292.33999999999997</v>
      </c>
      <c r="J320" s="3">
        <v>235.42</v>
      </c>
    </row>
    <row r="321" spans="1:10" ht="15" thickBot="1" x14ac:dyDescent="0.35">
      <c r="A321" s="1" t="s">
        <v>348</v>
      </c>
      <c r="B321" s="1" t="s">
        <v>48</v>
      </c>
      <c r="C321" s="1" t="s">
        <v>31</v>
      </c>
      <c r="D321" s="1" t="s">
        <v>27</v>
      </c>
      <c r="E321" s="1" t="s">
        <v>24</v>
      </c>
      <c r="F321" s="1" t="s">
        <v>15</v>
      </c>
      <c r="G321" s="2">
        <v>45246</v>
      </c>
      <c r="H321" s="3">
        <v>423</v>
      </c>
      <c r="I321" s="3">
        <v>48.94</v>
      </c>
      <c r="J321" s="3">
        <v>279.67</v>
      </c>
    </row>
    <row r="322" spans="1:10" ht="15" thickBot="1" x14ac:dyDescent="0.35">
      <c r="A322" s="1" t="s">
        <v>349</v>
      </c>
      <c r="B322" s="1" t="s">
        <v>17</v>
      </c>
      <c r="C322" s="1" t="s">
        <v>31</v>
      </c>
      <c r="D322" s="1" t="s">
        <v>13</v>
      </c>
      <c r="E322" s="1" t="s">
        <v>14</v>
      </c>
      <c r="F322" s="1" t="s">
        <v>20</v>
      </c>
      <c r="G322" s="2">
        <v>45247</v>
      </c>
      <c r="H322" s="3">
        <v>426</v>
      </c>
      <c r="I322" s="3">
        <v>481.02</v>
      </c>
      <c r="J322" s="3">
        <v>371.99</v>
      </c>
    </row>
    <row r="323" spans="1:10" ht="15" thickBot="1" x14ac:dyDescent="0.35">
      <c r="A323" s="1" t="s">
        <v>350</v>
      </c>
      <c r="B323" s="1" t="s">
        <v>22</v>
      </c>
      <c r="C323" s="1" t="s">
        <v>26</v>
      </c>
      <c r="D323" s="1" t="s">
        <v>27</v>
      </c>
      <c r="E323" s="1" t="s">
        <v>24</v>
      </c>
      <c r="F323" s="1" t="s">
        <v>28</v>
      </c>
      <c r="G323" s="2">
        <v>45248</v>
      </c>
      <c r="H323" s="3">
        <v>86</v>
      </c>
      <c r="I323" s="3">
        <v>319.31</v>
      </c>
      <c r="J323" s="3">
        <v>313.47000000000003</v>
      </c>
    </row>
    <row r="324" spans="1:10" ht="15" thickBot="1" x14ac:dyDescent="0.35">
      <c r="A324" s="1" t="s">
        <v>351</v>
      </c>
      <c r="B324" s="1" t="s">
        <v>17</v>
      </c>
      <c r="C324" s="1" t="s">
        <v>12</v>
      </c>
      <c r="D324" s="1" t="s">
        <v>19</v>
      </c>
      <c r="E324" s="1" t="s">
        <v>24</v>
      </c>
      <c r="F324" s="1" t="s">
        <v>15</v>
      </c>
      <c r="G324" s="2">
        <v>45249</v>
      </c>
      <c r="H324" s="3">
        <v>125</v>
      </c>
      <c r="I324" s="3">
        <v>378.64</v>
      </c>
      <c r="J324" s="3">
        <v>24.34</v>
      </c>
    </row>
    <row r="325" spans="1:10" ht="15" thickBot="1" x14ac:dyDescent="0.35">
      <c r="A325" s="1" t="s">
        <v>352</v>
      </c>
      <c r="B325" s="1" t="s">
        <v>48</v>
      </c>
      <c r="C325" s="1" t="s">
        <v>18</v>
      </c>
      <c r="D325" s="1"/>
      <c r="E325" s="1" t="s">
        <v>14</v>
      </c>
      <c r="F325" s="1" t="s">
        <v>15</v>
      </c>
      <c r="G325" s="2">
        <v>45250</v>
      </c>
      <c r="H325" s="3">
        <v>163</v>
      </c>
      <c r="I325" s="3">
        <v>89.39</v>
      </c>
      <c r="J325" s="3">
        <v>341.39</v>
      </c>
    </row>
    <row r="326" spans="1:10" ht="15" thickBot="1" x14ac:dyDescent="0.35">
      <c r="A326" s="1" t="s">
        <v>353</v>
      </c>
      <c r="B326" s="1" t="s">
        <v>48</v>
      </c>
      <c r="C326" s="1" t="s">
        <v>26</v>
      </c>
      <c r="D326" s="1" t="s">
        <v>13</v>
      </c>
      <c r="E326" s="1" t="s">
        <v>24</v>
      </c>
      <c r="F326" s="1" t="s">
        <v>20</v>
      </c>
      <c r="G326" s="2">
        <v>45251</v>
      </c>
      <c r="H326" s="3">
        <v>415</v>
      </c>
      <c r="I326" s="3">
        <v>207.69</v>
      </c>
      <c r="J326" s="3">
        <v>91.77</v>
      </c>
    </row>
    <row r="327" spans="1:10" ht="15" thickBot="1" x14ac:dyDescent="0.35">
      <c r="A327" s="1" t="s">
        <v>354</v>
      </c>
      <c r="B327" s="1" t="s">
        <v>48</v>
      </c>
      <c r="C327" s="1" t="s">
        <v>26</v>
      </c>
      <c r="D327" s="1" t="s">
        <v>27</v>
      </c>
      <c r="E327" s="1" t="s">
        <v>24</v>
      </c>
      <c r="F327" s="1" t="s">
        <v>28</v>
      </c>
      <c r="G327" s="2">
        <v>45252</v>
      </c>
      <c r="H327" s="3">
        <v>112</v>
      </c>
      <c r="I327" s="3">
        <v>214.23</v>
      </c>
      <c r="J327" s="3">
        <v>152.01</v>
      </c>
    </row>
    <row r="328" spans="1:10" ht="15" thickBot="1" x14ac:dyDescent="0.35">
      <c r="A328" s="1" t="s">
        <v>355</v>
      </c>
      <c r="B328" s="1" t="s">
        <v>11</v>
      </c>
      <c r="C328" s="1" t="s">
        <v>12</v>
      </c>
      <c r="D328" s="1" t="s">
        <v>19</v>
      </c>
      <c r="E328" s="1" t="s">
        <v>24</v>
      </c>
      <c r="F328" s="1" t="s">
        <v>20</v>
      </c>
      <c r="G328" s="2">
        <v>45253</v>
      </c>
      <c r="H328" s="3">
        <v>203</v>
      </c>
      <c r="I328" s="3">
        <v>411.79</v>
      </c>
      <c r="J328" s="3">
        <v>185.77</v>
      </c>
    </row>
    <row r="329" spans="1:10" ht="15" thickBot="1" x14ac:dyDescent="0.35">
      <c r="A329" s="1" t="s">
        <v>356</v>
      </c>
      <c r="B329" s="1" t="s">
        <v>11</v>
      </c>
      <c r="C329" s="1" t="s">
        <v>18</v>
      </c>
      <c r="D329" s="1" t="s">
        <v>42</v>
      </c>
      <c r="E329" s="1" t="s">
        <v>24</v>
      </c>
      <c r="F329" s="1" t="s">
        <v>28</v>
      </c>
      <c r="G329" s="2">
        <v>45254</v>
      </c>
      <c r="H329" s="1"/>
      <c r="I329" s="3">
        <v>5.61</v>
      </c>
      <c r="J329" s="3">
        <v>193.4</v>
      </c>
    </row>
    <row r="330" spans="1:10" ht="15" thickBot="1" x14ac:dyDescent="0.35">
      <c r="A330" s="1" t="s">
        <v>357</v>
      </c>
      <c r="B330" s="1" t="s">
        <v>17</v>
      </c>
      <c r="C330" s="1" t="s">
        <v>50</v>
      </c>
      <c r="D330" s="1" t="s">
        <v>13</v>
      </c>
      <c r="E330" s="1" t="s">
        <v>24</v>
      </c>
      <c r="F330" s="1" t="s">
        <v>28</v>
      </c>
      <c r="G330" s="2">
        <v>45255</v>
      </c>
      <c r="H330" s="3">
        <v>368</v>
      </c>
      <c r="I330" s="3">
        <v>153.91999999999999</v>
      </c>
      <c r="J330" s="3">
        <v>175.2</v>
      </c>
    </row>
    <row r="331" spans="1:10" ht="15" thickBot="1" x14ac:dyDescent="0.35">
      <c r="A331" s="1" t="s">
        <v>358</v>
      </c>
      <c r="B331" s="1" t="s">
        <v>17</v>
      </c>
      <c r="C331" s="1" t="s">
        <v>50</v>
      </c>
      <c r="D331" s="1" t="s">
        <v>42</v>
      </c>
      <c r="E331" s="1" t="s">
        <v>24</v>
      </c>
      <c r="F331" s="1" t="s">
        <v>28</v>
      </c>
      <c r="G331" s="2">
        <v>45256</v>
      </c>
      <c r="H331" s="3">
        <v>99</v>
      </c>
      <c r="I331" s="3">
        <v>490.71</v>
      </c>
      <c r="J331" s="3">
        <v>375.07</v>
      </c>
    </row>
    <row r="332" spans="1:10" ht="15" thickBot="1" x14ac:dyDescent="0.35">
      <c r="A332" s="1" t="s">
        <v>359</v>
      </c>
      <c r="B332" s="1" t="s">
        <v>22</v>
      </c>
      <c r="C332" s="1" t="s">
        <v>26</v>
      </c>
      <c r="D332" s="1" t="s">
        <v>42</v>
      </c>
      <c r="E332" s="1" t="s">
        <v>14</v>
      </c>
      <c r="F332" s="1" t="s">
        <v>15</v>
      </c>
      <c r="G332" s="2">
        <v>45257</v>
      </c>
      <c r="H332" s="3">
        <v>183</v>
      </c>
      <c r="I332" s="3">
        <v>240.07</v>
      </c>
      <c r="J332" s="3">
        <v>283</v>
      </c>
    </row>
    <row r="333" spans="1:10" ht="15" thickBot="1" x14ac:dyDescent="0.35">
      <c r="A333" s="1" t="s">
        <v>360</v>
      </c>
      <c r="B333" s="1"/>
      <c r="C333" s="1" t="s">
        <v>18</v>
      </c>
      <c r="D333" s="1" t="s">
        <v>42</v>
      </c>
      <c r="E333" s="1" t="s">
        <v>24</v>
      </c>
      <c r="F333" s="1" t="s">
        <v>20</v>
      </c>
      <c r="G333" s="2">
        <v>45258</v>
      </c>
      <c r="H333" s="3">
        <v>131</v>
      </c>
      <c r="I333" s="3">
        <v>194.35</v>
      </c>
      <c r="J333" s="3">
        <v>253.21</v>
      </c>
    </row>
    <row r="334" spans="1:10" ht="15" thickBot="1" x14ac:dyDescent="0.35">
      <c r="A334" s="1" t="s">
        <v>361</v>
      </c>
      <c r="B334" s="1" t="s">
        <v>17</v>
      </c>
      <c r="C334" s="1" t="s">
        <v>26</v>
      </c>
      <c r="D334" s="1" t="s">
        <v>23</v>
      </c>
      <c r="E334" s="1" t="s">
        <v>24</v>
      </c>
      <c r="F334" s="1" t="s">
        <v>20</v>
      </c>
      <c r="G334" s="2">
        <v>45259</v>
      </c>
      <c r="H334" s="3">
        <v>152</v>
      </c>
      <c r="I334" s="3">
        <v>64.319999999999993</v>
      </c>
      <c r="J334" s="3">
        <v>21.84</v>
      </c>
    </row>
    <row r="335" spans="1:10" ht="15" thickBot="1" x14ac:dyDescent="0.35">
      <c r="A335" s="1" t="s">
        <v>362</v>
      </c>
      <c r="B335" s="1" t="s">
        <v>11</v>
      </c>
      <c r="C335" s="1" t="s">
        <v>31</v>
      </c>
      <c r="D335" s="1" t="s">
        <v>23</v>
      </c>
      <c r="E335" s="1" t="s">
        <v>24</v>
      </c>
      <c r="F335" s="1" t="s">
        <v>28</v>
      </c>
      <c r="G335" s="2">
        <v>45260</v>
      </c>
      <c r="H335" s="3">
        <v>491</v>
      </c>
      <c r="I335" s="3">
        <v>487.21</v>
      </c>
      <c r="J335" s="3">
        <v>361.76</v>
      </c>
    </row>
    <row r="336" spans="1:10" ht="15" thickBot="1" x14ac:dyDescent="0.35">
      <c r="A336" s="1" t="s">
        <v>363</v>
      </c>
      <c r="B336" s="1" t="s">
        <v>48</v>
      </c>
      <c r="C336" s="1" t="s">
        <v>26</v>
      </c>
      <c r="D336" s="1" t="s">
        <v>42</v>
      </c>
      <c r="E336" s="1" t="s">
        <v>14</v>
      </c>
      <c r="F336" s="1" t="s">
        <v>15</v>
      </c>
      <c r="G336" s="2">
        <v>45261</v>
      </c>
      <c r="H336" s="3">
        <v>115</v>
      </c>
      <c r="I336" s="3">
        <v>14.91</v>
      </c>
      <c r="J336" s="3">
        <v>363.94</v>
      </c>
    </row>
    <row r="337" spans="1:10" ht="15" thickBot="1" x14ac:dyDescent="0.35">
      <c r="A337" s="1" t="s">
        <v>364</v>
      </c>
      <c r="B337" s="1" t="s">
        <v>17</v>
      </c>
      <c r="C337" s="1" t="s">
        <v>26</v>
      </c>
      <c r="D337" s="1" t="s">
        <v>13</v>
      </c>
      <c r="E337" s="1" t="s">
        <v>24</v>
      </c>
      <c r="F337" s="1" t="s">
        <v>15</v>
      </c>
      <c r="G337" s="2">
        <v>45262</v>
      </c>
      <c r="H337" s="3">
        <v>384</v>
      </c>
      <c r="I337" s="3">
        <v>369.9</v>
      </c>
      <c r="J337" s="3">
        <v>312.52</v>
      </c>
    </row>
    <row r="338" spans="1:10" ht="15" thickBot="1" x14ac:dyDescent="0.35">
      <c r="A338" s="1" t="s">
        <v>365</v>
      </c>
      <c r="B338" s="1" t="s">
        <v>22</v>
      </c>
      <c r="C338" s="1" t="s">
        <v>50</v>
      </c>
      <c r="D338" s="1" t="s">
        <v>19</v>
      </c>
      <c r="E338" s="1" t="s">
        <v>14</v>
      </c>
      <c r="F338" s="1" t="s">
        <v>20</v>
      </c>
      <c r="G338" s="2">
        <v>45263</v>
      </c>
      <c r="H338" s="3">
        <v>437</v>
      </c>
      <c r="I338" s="3">
        <v>385.46</v>
      </c>
      <c r="J338" s="3">
        <v>4.8</v>
      </c>
    </row>
    <row r="339" spans="1:10" ht="15" thickBot="1" x14ac:dyDescent="0.35">
      <c r="A339" s="1" t="s">
        <v>366</v>
      </c>
      <c r="B339" s="1" t="s">
        <v>11</v>
      </c>
      <c r="C339" s="1" t="s">
        <v>50</v>
      </c>
      <c r="D339" s="1" t="s">
        <v>19</v>
      </c>
      <c r="E339" s="1" t="s">
        <v>24</v>
      </c>
      <c r="F339" s="1" t="s">
        <v>15</v>
      </c>
      <c r="G339" s="2">
        <v>45264</v>
      </c>
      <c r="H339" s="3">
        <v>314</v>
      </c>
      <c r="I339" s="3">
        <v>125.61</v>
      </c>
      <c r="J339" s="3">
        <v>24.8</v>
      </c>
    </row>
    <row r="340" spans="1:10" ht="15" thickBot="1" x14ac:dyDescent="0.35">
      <c r="A340" s="1" t="s">
        <v>367</v>
      </c>
      <c r="B340" s="1" t="s">
        <v>17</v>
      </c>
      <c r="C340" s="1" t="s">
        <v>50</v>
      </c>
      <c r="D340" s="1" t="s">
        <v>27</v>
      </c>
      <c r="E340" s="1" t="s">
        <v>14</v>
      </c>
      <c r="F340" s="1" t="s">
        <v>15</v>
      </c>
      <c r="G340" s="2">
        <v>45265</v>
      </c>
      <c r="H340" s="3">
        <v>369</v>
      </c>
      <c r="I340" s="3">
        <v>337.42</v>
      </c>
      <c r="J340" s="3">
        <v>91.64</v>
      </c>
    </row>
    <row r="341" spans="1:10" ht="15" thickBot="1" x14ac:dyDescent="0.35">
      <c r="A341" s="1" t="s">
        <v>368</v>
      </c>
      <c r="B341" s="1" t="s">
        <v>17</v>
      </c>
      <c r="C341" s="1" t="s">
        <v>31</v>
      </c>
      <c r="D341" s="1" t="s">
        <v>13</v>
      </c>
      <c r="E341" s="1" t="s">
        <v>14</v>
      </c>
      <c r="F341" s="1" t="s">
        <v>28</v>
      </c>
      <c r="G341" s="2">
        <v>45266</v>
      </c>
      <c r="H341" s="3">
        <v>468</v>
      </c>
      <c r="I341" s="3">
        <v>51</v>
      </c>
      <c r="J341" s="3">
        <v>54.28</v>
      </c>
    </row>
    <row r="342" spans="1:10" ht="15" thickBot="1" x14ac:dyDescent="0.35">
      <c r="A342" s="1" t="s">
        <v>369</v>
      </c>
      <c r="B342" s="1" t="s">
        <v>11</v>
      </c>
      <c r="C342" s="1" t="s">
        <v>50</v>
      </c>
      <c r="D342" s="1" t="s">
        <v>23</v>
      </c>
      <c r="E342" s="1" t="s">
        <v>24</v>
      </c>
      <c r="F342" s="1" t="s">
        <v>15</v>
      </c>
      <c r="G342" s="2">
        <v>45267</v>
      </c>
      <c r="H342" s="3">
        <v>326</v>
      </c>
      <c r="I342" s="3">
        <v>132.24</v>
      </c>
      <c r="J342" s="3">
        <v>160.74</v>
      </c>
    </row>
    <row r="343" spans="1:10" ht="15" thickBot="1" x14ac:dyDescent="0.35">
      <c r="A343" s="1" t="s">
        <v>370</v>
      </c>
      <c r="B343" s="1" t="s">
        <v>17</v>
      </c>
      <c r="C343" s="1" t="s">
        <v>18</v>
      </c>
      <c r="D343" s="1" t="s">
        <v>42</v>
      </c>
      <c r="E343" s="1" t="s">
        <v>24</v>
      </c>
      <c r="F343" s="1" t="s">
        <v>28</v>
      </c>
      <c r="G343" s="2">
        <v>45268</v>
      </c>
      <c r="H343" s="3">
        <v>460</v>
      </c>
      <c r="I343" s="3">
        <v>395.01</v>
      </c>
      <c r="J343" s="3">
        <v>369.2</v>
      </c>
    </row>
    <row r="344" spans="1:10" ht="15" thickBot="1" x14ac:dyDescent="0.35">
      <c r="A344" s="1" t="s">
        <v>371</v>
      </c>
      <c r="B344" s="1" t="s">
        <v>11</v>
      </c>
      <c r="C344" s="1" t="s">
        <v>12</v>
      </c>
      <c r="D344" s="1" t="s">
        <v>27</v>
      </c>
      <c r="E344" s="1" t="s">
        <v>14</v>
      </c>
      <c r="F344" s="1" t="s">
        <v>20</v>
      </c>
      <c r="G344" s="2">
        <v>45269</v>
      </c>
      <c r="H344" s="3">
        <v>132</v>
      </c>
      <c r="I344" s="3">
        <v>433.02</v>
      </c>
      <c r="J344" s="3">
        <v>189.88</v>
      </c>
    </row>
    <row r="345" spans="1:10" ht="15" thickBot="1" x14ac:dyDescent="0.35">
      <c r="A345" s="1" t="s">
        <v>372</v>
      </c>
      <c r="B345" s="1" t="s">
        <v>48</v>
      </c>
      <c r="C345" s="1" t="s">
        <v>18</v>
      </c>
      <c r="D345" s="1" t="s">
        <v>19</v>
      </c>
      <c r="E345" s="1" t="s">
        <v>24</v>
      </c>
      <c r="F345" s="1" t="s">
        <v>15</v>
      </c>
      <c r="G345" s="2">
        <v>45270</v>
      </c>
      <c r="H345" s="3">
        <v>399</v>
      </c>
      <c r="I345" s="3">
        <v>306.2</v>
      </c>
      <c r="J345" s="3">
        <v>7.33</v>
      </c>
    </row>
    <row r="346" spans="1:10" ht="15" thickBot="1" x14ac:dyDescent="0.35">
      <c r="A346" s="1" t="s">
        <v>373</v>
      </c>
      <c r="B346" s="1" t="s">
        <v>11</v>
      </c>
      <c r="C346" s="1" t="s">
        <v>18</v>
      </c>
      <c r="D346" s="1" t="s">
        <v>23</v>
      </c>
      <c r="E346" s="1" t="s">
        <v>14</v>
      </c>
      <c r="F346" s="1" t="s">
        <v>20</v>
      </c>
      <c r="G346" s="2">
        <v>45271</v>
      </c>
      <c r="H346" s="3">
        <v>18</v>
      </c>
      <c r="I346" s="3">
        <v>255.89</v>
      </c>
      <c r="J346" s="3">
        <v>114.53</v>
      </c>
    </row>
    <row r="347" spans="1:10" ht="15" thickBot="1" x14ac:dyDescent="0.35">
      <c r="A347" s="1" t="s">
        <v>374</v>
      </c>
      <c r="B347" s="1" t="s">
        <v>11</v>
      </c>
      <c r="C347" s="1" t="s">
        <v>50</v>
      </c>
      <c r="D347" s="1" t="s">
        <v>23</v>
      </c>
      <c r="E347" s="1" t="s">
        <v>14</v>
      </c>
      <c r="F347" s="1" t="s">
        <v>20</v>
      </c>
      <c r="G347" s="2">
        <v>45272</v>
      </c>
      <c r="H347" s="3">
        <v>271</v>
      </c>
      <c r="I347" s="3">
        <v>83.86</v>
      </c>
      <c r="J347" s="3">
        <v>19.75</v>
      </c>
    </row>
    <row r="348" spans="1:10" ht="15" thickBot="1" x14ac:dyDescent="0.35">
      <c r="A348" s="1" t="s">
        <v>375</v>
      </c>
      <c r="B348" s="1"/>
      <c r="C348" s="1" t="s">
        <v>12</v>
      </c>
      <c r="D348" s="1" t="s">
        <v>42</v>
      </c>
      <c r="E348" s="1" t="s">
        <v>14</v>
      </c>
      <c r="F348" s="1" t="s">
        <v>15</v>
      </c>
      <c r="G348" s="2">
        <v>45273</v>
      </c>
      <c r="H348" s="3">
        <v>82</v>
      </c>
      <c r="I348" s="3">
        <v>36.24</v>
      </c>
      <c r="J348" s="3">
        <v>16.440000000000001</v>
      </c>
    </row>
    <row r="349" spans="1:10" ht="15" thickBot="1" x14ac:dyDescent="0.35">
      <c r="A349" s="1" t="s">
        <v>376</v>
      </c>
      <c r="B349" s="1" t="s">
        <v>17</v>
      </c>
      <c r="C349" s="1" t="s">
        <v>12</v>
      </c>
      <c r="D349" s="1" t="s">
        <v>19</v>
      </c>
      <c r="E349" s="1" t="s">
        <v>14</v>
      </c>
      <c r="F349" s="1" t="s">
        <v>15</v>
      </c>
      <c r="G349" s="2">
        <v>45274</v>
      </c>
      <c r="H349" s="3">
        <v>368</v>
      </c>
      <c r="I349" s="3">
        <v>63.24</v>
      </c>
      <c r="J349" s="3">
        <v>111.74</v>
      </c>
    </row>
    <row r="350" spans="1:10" ht="15" thickBot="1" x14ac:dyDescent="0.35">
      <c r="A350" s="1" t="s">
        <v>377</v>
      </c>
      <c r="B350" s="1" t="s">
        <v>17</v>
      </c>
      <c r="C350" s="1" t="s">
        <v>12</v>
      </c>
      <c r="D350" s="1" t="s">
        <v>13</v>
      </c>
      <c r="E350" s="1" t="s">
        <v>14</v>
      </c>
      <c r="F350" s="1" t="s">
        <v>20</v>
      </c>
      <c r="G350" s="2">
        <v>45275</v>
      </c>
      <c r="H350" s="3">
        <v>232</v>
      </c>
      <c r="I350" s="3">
        <v>117.54</v>
      </c>
      <c r="J350" s="3">
        <v>111.69</v>
      </c>
    </row>
    <row r="351" spans="1:10" x14ac:dyDescent="0.3">
      <c r="A351" s="6" t="s">
        <v>378</v>
      </c>
      <c r="B351" s="6" t="s">
        <v>11</v>
      </c>
      <c r="C351" s="6" t="s">
        <v>31</v>
      </c>
      <c r="D351" s="6" t="s">
        <v>23</v>
      </c>
      <c r="E351" s="6" t="s">
        <v>24</v>
      </c>
      <c r="F351" s="6" t="s">
        <v>15</v>
      </c>
      <c r="G351" s="7">
        <v>45276</v>
      </c>
      <c r="H351" s="8">
        <v>425</v>
      </c>
      <c r="I351" s="8">
        <v>174.13</v>
      </c>
      <c r="J351" s="8">
        <v>315.27999999999997</v>
      </c>
    </row>
  </sheetData>
  <conditionalFormatting sqref="B2:B351">
    <cfRule type="cellIs" dxfId="29" priority="2" operator="equal">
      <formula>""</formula>
    </cfRule>
  </conditionalFormatting>
  <conditionalFormatting sqref="D2:D351">
    <cfRule type="containsBlanks" dxfId="28" priority="4">
      <formula>LEN(TRIM(D2))=0</formula>
    </cfRule>
  </conditionalFormatting>
  <conditionalFormatting sqref="H2:H351">
    <cfRule type="containsBlanks" dxfId="27" priority="6">
      <formula>LEN(TRIM(H2))=0</formula>
    </cfRule>
  </conditionalFormatting>
  <conditionalFormatting sqref="I2:I351">
    <cfRule type="containsBlanks" dxfId="26" priority="8">
      <formula>LEN(TRIM(I2))=0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B75B-35CF-4F49-977A-46611918B7C9}">
  <dimension ref="A1:B11"/>
  <sheetViews>
    <sheetView workbookViewId="0">
      <selection activeCell="A2" sqref="A2"/>
    </sheetView>
  </sheetViews>
  <sheetFormatPr defaultRowHeight="14.4" x14ac:dyDescent="0.3"/>
  <cols>
    <col min="1" max="1" width="15.88671875" bestFit="1" customWidth="1"/>
    <col min="2" max="2" width="15.6640625" bestFit="1" customWidth="1"/>
  </cols>
  <sheetData>
    <row r="1" spans="1:2" x14ac:dyDescent="0.3">
      <c r="A1" t="s">
        <v>379</v>
      </c>
      <c r="B1" t="s">
        <v>380</v>
      </c>
    </row>
    <row r="2" spans="1:2" x14ac:dyDescent="0.3">
      <c r="A2" t="s">
        <v>0</v>
      </c>
      <c r="B2">
        <v>0</v>
      </c>
    </row>
    <row r="3" spans="1:2" x14ac:dyDescent="0.3">
      <c r="A3" t="s">
        <v>1</v>
      </c>
      <c r="B3">
        <v>10</v>
      </c>
    </row>
    <row r="4" spans="1:2" x14ac:dyDescent="0.3">
      <c r="A4" t="s">
        <v>2</v>
      </c>
      <c r="B4">
        <v>0</v>
      </c>
    </row>
    <row r="5" spans="1:2" x14ac:dyDescent="0.3">
      <c r="A5" t="s">
        <v>3</v>
      </c>
      <c r="B5">
        <v>10</v>
      </c>
    </row>
    <row r="6" spans="1:2" x14ac:dyDescent="0.3">
      <c r="A6" t="s">
        <v>4</v>
      </c>
      <c r="B6">
        <v>0</v>
      </c>
    </row>
    <row r="7" spans="1:2" x14ac:dyDescent="0.3">
      <c r="A7" t="s">
        <v>5</v>
      </c>
      <c r="B7">
        <v>0</v>
      </c>
    </row>
    <row r="8" spans="1:2" x14ac:dyDescent="0.3">
      <c r="A8" t="s">
        <v>6</v>
      </c>
      <c r="B8">
        <v>0</v>
      </c>
    </row>
    <row r="9" spans="1:2" x14ac:dyDescent="0.3">
      <c r="A9" t="s">
        <v>7</v>
      </c>
      <c r="B9">
        <v>10</v>
      </c>
    </row>
    <row r="10" spans="1:2" x14ac:dyDescent="0.3">
      <c r="A10" t="s">
        <v>8</v>
      </c>
      <c r="B10">
        <v>10</v>
      </c>
    </row>
    <row r="11" spans="1:2" x14ac:dyDescent="0.3">
      <c r="A11" t="s">
        <v>9</v>
      </c>
      <c r="B1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145C4-FB6C-496D-8D8D-3E10DC835536}">
  <dimension ref="A1:Q351"/>
  <sheetViews>
    <sheetView workbookViewId="0">
      <selection activeCell="O2" sqref="O2"/>
    </sheetView>
  </sheetViews>
  <sheetFormatPr defaultRowHeight="14.4" x14ac:dyDescent="0.3"/>
  <cols>
    <col min="2" max="2" width="10.5546875" hidden="1" customWidth="1"/>
    <col min="3" max="3" width="13.6640625" bestFit="1" customWidth="1"/>
    <col min="5" max="5" width="12.6640625" hidden="1" customWidth="1"/>
    <col min="6" max="6" width="12.6640625" customWidth="1"/>
    <col min="7" max="7" width="11.44140625" bestFit="1" customWidth="1"/>
    <col min="9" max="9" width="18" customWidth="1"/>
    <col min="10" max="10" width="11.44140625" hidden="1" customWidth="1"/>
    <col min="11" max="11" width="13.6640625" bestFit="1" customWidth="1"/>
    <col min="12" max="12" width="0" hidden="1" customWidth="1"/>
    <col min="13" max="13" width="15.5546875" bestFit="1" customWidth="1"/>
    <col min="14" max="14" width="10.88671875" customWidth="1"/>
    <col min="15" max="15" width="13.6640625" bestFit="1" customWidth="1"/>
    <col min="17" max="17" width="31" customWidth="1"/>
  </cols>
  <sheetData>
    <row r="1" spans="1:17" ht="28.8" x14ac:dyDescent="0.3">
      <c r="A1" s="4" t="s">
        <v>0</v>
      </c>
      <c r="B1" s="5" t="s">
        <v>1</v>
      </c>
      <c r="C1" s="12" t="s">
        <v>381</v>
      </c>
      <c r="D1" s="5" t="s">
        <v>2</v>
      </c>
      <c r="E1" s="5" t="s">
        <v>3</v>
      </c>
      <c r="F1" s="12" t="s">
        <v>382</v>
      </c>
      <c r="G1" s="5" t="s">
        <v>4</v>
      </c>
      <c r="H1" s="5" t="s">
        <v>5</v>
      </c>
      <c r="I1" s="5" t="s">
        <v>6</v>
      </c>
      <c r="J1" s="5" t="s">
        <v>7</v>
      </c>
      <c r="K1" s="12" t="s">
        <v>383</v>
      </c>
      <c r="L1" s="5" t="s">
        <v>8</v>
      </c>
      <c r="M1" s="12" t="s">
        <v>384</v>
      </c>
      <c r="N1" s="5" t="s">
        <v>9</v>
      </c>
      <c r="O1" s="12" t="s">
        <v>385</v>
      </c>
      <c r="Q1" s="13" t="s">
        <v>386</v>
      </c>
    </row>
    <row r="2" spans="1:17" ht="28.5" customHeight="1" x14ac:dyDescent="0.3">
      <c r="A2" s="1" t="s">
        <v>10</v>
      </c>
      <c r="B2" s="1" t="s">
        <v>11</v>
      </c>
      <c r="C2" s="9" t="str">
        <f>IF(ISBLANK($B2), "West", $B2)</f>
        <v>East</v>
      </c>
      <c r="D2" s="1" t="s">
        <v>12</v>
      </c>
      <c r="E2" s="1" t="s">
        <v>13</v>
      </c>
      <c r="F2" s="9" t="str">
        <f t="shared" ref="F2:F65" si="0">IF(ISBLANK($E2), "Unknown", $E2)</f>
        <v>Beverages</v>
      </c>
      <c r="G2" s="1" t="s">
        <v>14</v>
      </c>
      <c r="H2" s="1" t="s">
        <v>15</v>
      </c>
      <c r="I2" s="2">
        <v>44927</v>
      </c>
      <c r="J2" s="3">
        <v>235</v>
      </c>
      <c r="K2" s="10" cm="1">
        <f t="array" ref="K2">IF(ISBLANK(Table16[[#This Row],[Units Sold]]),AVERAGE(_xlfn._xlws.FILTER(Table16[Units Sold],NOT(ISBLANK(Table16[Units Sold])))),Table16[[#This Row],[Units Sold]])</f>
        <v>235</v>
      </c>
      <c r="L2" s="3">
        <v>152.91999999999999</v>
      </c>
      <c r="M2" s="11" cm="1">
        <f t="array" ref="M2">IF(ISBLANK(Table16[[#This Row],[Unit Price]]),AVERAGE(_xlfn._xlws.FILTER(Table16[Unit Price],NOT(ISBLANK(Table16[Unit Price])))),Table16[[#This Row],[Unit Price]])</f>
        <v>152.91999999999999</v>
      </c>
      <c r="N2" s="3">
        <v>153.6</v>
      </c>
      <c r="O2" s="11">
        <f>Table16[[#This Row],[Unit sold Filled]]*Table16[[#This Row],[Unit Price Filled]]</f>
        <v>35936.199999999997</v>
      </c>
      <c r="Q2" s="14">
        <f>_xlfn.XLOOKUP($A$124, Table16[Order ID], Table16[Total Revenue], "Not Found", 0)</f>
        <v>15849.300000000001</v>
      </c>
    </row>
    <row r="3" spans="1:17" x14ac:dyDescent="0.3">
      <c r="A3" s="1" t="s">
        <v>16</v>
      </c>
      <c r="B3" s="1" t="s">
        <v>17</v>
      </c>
      <c r="C3" s="3" t="str">
        <f t="shared" ref="C3:C66" si="1">IF(ISBLANK($B3), "West", $B3)</f>
        <v>West</v>
      </c>
      <c r="D3" s="1" t="s">
        <v>18</v>
      </c>
      <c r="E3" s="1" t="s">
        <v>19</v>
      </c>
      <c r="F3" s="3" t="str">
        <f t="shared" si="0"/>
        <v>Food</v>
      </c>
      <c r="G3" s="1" t="s">
        <v>14</v>
      </c>
      <c r="H3" s="1" t="s">
        <v>20</v>
      </c>
      <c r="I3" s="2">
        <v>44928</v>
      </c>
      <c r="J3" s="3">
        <v>341</v>
      </c>
      <c r="K3" s="10" cm="1">
        <f t="array" ref="K3">IF(ISBLANK(Table16[[#This Row],[Units Sold]]),AVERAGE(_xlfn._xlws.FILTER(Table16[Units Sold],NOT(ISBLANK(Table16[Units Sold])))),Table16[[#This Row],[Units Sold]])</f>
        <v>341</v>
      </c>
      <c r="L3" s="3">
        <v>467.92</v>
      </c>
      <c r="M3" s="11" cm="1">
        <f t="array" ref="M3">IF(ISBLANK(Table16[[#This Row],[Unit Price]]),AVERAGE(_xlfn._xlws.FILTER(Table16[Unit Price],NOT(ISBLANK(Table16[Unit Price])))),Table16[[#This Row],[Unit Price]])</f>
        <v>467.92</v>
      </c>
      <c r="N3" s="3">
        <v>139.84</v>
      </c>
      <c r="O3" s="11">
        <f>Table16[[#This Row],[Unit sold Filled]]*Table16[[#This Row],[Unit Price Filled]]</f>
        <v>159560.72</v>
      </c>
    </row>
    <row r="4" spans="1:17" x14ac:dyDescent="0.3">
      <c r="A4" s="1" t="s">
        <v>21</v>
      </c>
      <c r="B4" s="1" t="s">
        <v>22</v>
      </c>
      <c r="C4" s="3" t="str">
        <f t="shared" si="1"/>
        <v>North</v>
      </c>
      <c r="D4" s="1" t="s">
        <v>18</v>
      </c>
      <c r="E4" s="1" t="s">
        <v>23</v>
      </c>
      <c r="F4" s="3" t="str">
        <f t="shared" si="0"/>
        <v>Clothing</v>
      </c>
      <c r="G4" s="1" t="s">
        <v>24</v>
      </c>
      <c r="H4" s="1" t="s">
        <v>15</v>
      </c>
      <c r="I4" s="2">
        <v>44929</v>
      </c>
      <c r="J4" s="3">
        <v>179</v>
      </c>
      <c r="K4" s="10" cm="1">
        <f t="array" ref="K4">IF(ISBLANK(Table16[[#This Row],[Units Sold]]),AVERAGE(_xlfn._xlws.FILTER(Table16[Units Sold],NOT(ISBLANK(Table16[Units Sold])))),Table16[[#This Row],[Units Sold]])</f>
        <v>179</v>
      </c>
      <c r="L4" s="3">
        <v>473.94</v>
      </c>
      <c r="M4" s="11" cm="1">
        <f t="array" ref="M4">IF(ISBLANK(Table16[[#This Row],[Unit Price]]),AVERAGE(_xlfn._xlws.FILTER(Table16[Unit Price],NOT(ISBLANK(Table16[Unit Price])))),Table16[[#This Row],[Unit Price]])</f>
        <v>473.94</v>
      </c>
      <c r="N4" s="3">
        <v>97.14</v>
      </c>
      <c r="O4" s="11">
        <f>Table16[[#This Row],[Unit sold Filled]]*Table16[[#This Row],[Unit Price Filled]]</f>
        <v>84835.26</v>
      </c>
    </row>
    <row r="5" spans="1:17" x14ac:dyDescent="0.3">
      <c r="A5" s="1" t="s">
        <v>25</v>
      </c>
      <c r="B5" s="1" t="s">
        <v>11</v>
      </c>
      <c r="C5" s="3" t="str">
        <f t="shared" si="1"/>
        <v>East</v>
      </c>
      <c r="D5" s="1" t="s">
        <v>26</v>
      </c>
      <c r="E5" s="1" t="s">
        <v>27</v>
      </c>
      <c r="F5" s="3" t="str">
        <f t="shared" si="0"/>
        <v>Furniture</v>
      </c>
      <c r="G5" s="1" t="s">
        <v>24</v>
      </c>
      <c r="H5" s="1" t="s">
        <v>28</v>
      </c>
      <c r="I5" s="2">
        <v>44930</v>
      </c>
      <c r="J5" s="3">
        <v>18</v>
      </c>
      <c r="K5" s="10" cm="1">
        <f t="array" ref="K5">IF(ISBLANK(Table16[[#This Row],[Units Sold]]),AVERAGE(_xlfn._xlws.FILTER(Table16[Units Sold],NOT(ISBLANK(Table16[Units Sold])))),Table16[[#This Row],[Units Sold]])</f>
        <v>18</v>
      </c>
      <c r="L5" s="3">
        <v>314.52999999999997</v>
      </c>
      <c r="M5" s="11" cm="1">
        <f t="array" ref="M5">IF(ISBLANK(Table16[[#This Row],[Unit Price]]),AVERAGE(_xlfn._xlws.FILTER(Table16[Unit Price],NOT(ISBLANK(Table16[Unit Price])))),Table16[[#This Row],[Unit Price]])</f>
        <v>314.52999999999997</v>
      </c>
      <c r="N5" s="3">
        <v>204.87</v>
      </c>
      <c r="O5" s="11">
        <f>Table16[[#This Row],[Unit sold Filled]]*Table16[[#This Row],[Unit Price Filled]]</f>
        <v>5661.5399999999991</v>
      </c>
    </row>
    <row r="6" spans="1:17" x14ac:dyDescent="0.3">
      <c r="A6" s="1" t="s">
        <v>29</v>
      </c>
      <c r="B6" s="1" t="s">
        <v>11</v>
      </c>
      <c r="C6" s="3" t="str">
        <f t="shared" si="1"/>
        <v>East</v>
      </c>
      <c r="D6" s="1" t="s">
        <v>18</v>
      </c>
      <c r="E6" s="1" t="s">
        <v>27</v>
      </c>
      <c r="F6" s="3" t="str">
        <f t="shared" si="0"/>
        <v>Furniture</v>
      </c>
      <c r="G6" s="1" t="s">
        <v>24</v>
      </c>
      <c r="H6" s="1" t="s">
        <v>28</v>
      </c>
      <c r="I6" s="2">
        <v>44931</v>
      </c>
      <c r="J6" s="3">
        <v>472</v>
      </c>
      <c r="K6" s="10" cm="1">
        <f t="array" ref="K6">IF(ISBLANK(Table16[[#This Row],[Units Sold]]),AVERAGE(_xlfn._xlws.FILTER(Table16[Units Sold],NOT(ISBLANK(Table16[Units Sold])))),Table16[[#This Row],[Units Sold]])</f>
        <v>472</v>
      </c>
      <c r="L6" s="3">
        <v>392.79</v>
      </c>
      <c r="M6" s="11" cm="1">
        <f t="array" ref="M6">IF(ISBLANK(Table16[[#This Row],[Unit Price]]),AVERAGE(_xlfn._xlws.FILTER(Table16[Unit Price],NOT(ISBLANK(Table16[Unit Price])))),Table16[[#This Row],[Unit Price]])</f>
        <v>392.79</v>
      </c>
      <c r="N6" s="3">
        <v>330.46</v>
      </c>
      <c r="O6" s="11">
        <f>Table16[[#This Row],[Unit sold Filled]]*Table16[[#This Row],[Unit Price Filled]]</f>
        <v>185396.88</v>
      </c>
    </row>
    <row r="7" spans="1:17" x14ac:dyDescent="0.3">
      <c r="A7" s="1" t="s">
        <v>30</v>
      </c>
      <c r="B7" s="1" t="s">
        <v>17</v>
      </c>
      <c r="C7" s="3" t="str">
        <f t="shared" si="1"/>
        <v>West</v>
      </c>
      <c r="D7" s="1" t="s">
        <v>31</v>
      </c>
      <c r="E7" s="1" t="s">
        <v>23</v>
      </c>
      <c r="F7" s="3" t="str">
        <f t="shared" si="0"/>
        <v>Clothing</v>
      </c>
      <c r="G7" s="1" t="s">
        <v>14</v>
      </c>
      <c r="H7" s="1" t="s">
        <v>15</v>
      </c>
      <c r="I7" s="2">
        <v>44932</v>
      </c>
      <c r="J7" s="3">
        <v>49</v>
      </c>
      <c r="K7" s="10" cm="1">
        <f t="array" ref="K7">IF(ISBLANK(Table16[[#This Row],[Units Sold]]),AVERAGE(_xlfn._xlws.FILTER(Table16[Units Sold],NOT(ISBLANK(Table16[Units Sold])))),Table16[[#This Row],[Units Sold]])</f>
        <v>49</v>
      </c>
      <c r="L7" s="3">
        <v>308.07</v>
      </c>
      <c r="M7" s="11" cm="1">
        <f t="array" ref="M7">IF(ISBLANK(Table16[[#This Row],[Unit Price]]),AVERAGE(_xlfn._xlws.FILTER(Table16[Unit Price],NOT(ISBLANK(Table16[Unit Price])))),Table16[[#This Row],[Unit Price]])</f>
        <v>308.07</v>
      </c>
      <c r="N7" s="3">
        <v>113.32</v>
      </c>
      <c r="O7" s="11">
        <f>Table16[[#This Row],[Unit sold Filled]]*Table16[[#This Row],[Unit Price Filled]]</f>
        <v>15095.43</v>
      </c>
    </row>
    <row r="8" spans="1:17" x14ac:dyDescent="0.3">
      <c r="A8" s="1" t="s">
        <v>32</v>
      </c>
      <c r="B8" s="1" t="s">
        <v>22</v>
      </c>
      <c r="C8" s="3" t="str">
        <f t="shared" si="1"/>
        <v>North</v>
      </c>
      <c r="D8" s="1" t="s">
        <v>12</v>
      </c>
      <c r="E8" s="1" t="s">
        <v>23</v>
      </c>
      <c r="F8" s="3" t="str">
        <f t="shared" si="0"/>
        <v>Clothing</v>
      </c>
      <c r="G8" s="1" t="s">
        <v>14</v>
      </c>
      <c r="H8" s="1" t="s">
        <v>20</v>
      </c>
      <c r="I8" s="2">
        <v>44933</v>
      </c>
      <c r="J8" s="3">
        <v>34</v>
      </c>
      <c r="K8" s="10" cm="1">
        <f t="array" ref="K8">IF(ISBLANK(Table16[[#This Row],[Units Sold]]),AVERAGE(_xlfn._xlws.FILTER(Table16[Units Sold],NOT(ISBLANK(Table16[Units Sold])))),Table16[[#This Row],[Units Sold]])</f>
        <v>34</v>
      </c>
      <c r="L8" s="3">
        <v>244.78</v>
      </c>
      <c r="M8" s="11" cm="1">
        <f t="array" ref="M8">IF(ISBLANK(Table16[[#This Row],[Unit Price]]),AVERAGE(_xlfn._xlws.FILTER(Table16[Unit Price],NOT(ISBLANK(Table16[Unit Price])))),Table16[[#This Row],[Unit Price]])</f>
        <v>244.78</v>
      </c>
      <c r="N8" s="3">
        <v>377.07</v>
      </c>
      <c r="O8" s="11">
        <f>Table16[[#This Row],[Unit sold Filled]]*Table16[[#This Row],[Unit Price Filled]]</f>
        <v>8322.52</v>
      </c>
    </row>
    <row r="9" spans="1:17" x14ac:dyDescent="0.3">
      <c r="A9" s="1" t="s">
        <v>33</v>
      </c>
      <c r="B9" s="1" t="s">
        <v>22</v>
      </c>
      <c r="C9" s="3" t="str">
        <f t="shared" si="1"/>
        <v>North</v>
      </c>
      <c r="D9" s="1" t="s">
        <v>18</v>
      </c>
      <c r="E9" s="1" t="s">
        <v>13</v>
      </c>
      <c r="F9" s="3" t="str">
        <f t="shared" si="0"/>
        <v>Beverages</v>
      </c>
      <c r="G9" s="1" t="s">
        <v>14</v>
      </c>
      <c r="H9" s="1" t="s">
        <v>15</v>
      </c>
      <c r="I9" s="2">
        <v>44934</v>
      </c>
      <c r="J9" s="3">
        <v>270</v>
      </c>
      <c r="K9" s="10" cm="1">
        <f t="array" ref="K9">IF(ISBLANK(Table16[[#This Row],[Units Sold]]),AVERAGE(_xlfn._xlws.FILTER(Table16[Units Sold],NOT(ISBLANK(Table16[Units Sold])))),Table16[[#This Row],[Units Sold]])</f>
        <v>270</v>
      </c>
      <c r="L9" s="3">
        <v>332.11</v>
      </c>
      <c r="M9" s="11" cm="1">
        <f t="array" ref="M9">IF(ISBLANK(Table16[[#This Row],[Unit Price]]),AVERAGE(_xlfn._xlws.FILTER(Table16[Unit Price],NOT(ISBLANK(Table16[Unit Price])))),Table16[[#This Row],[Unit Price]])</f>
        <v>332.11</v>
      </c>
      <c r="N9" s="3">
        <v>349.59</v>
      </c>
      <c r="O9" s="11">
        <f>Table16[[#This Row],[Unit sold Filled]]*Table16[[#This Row],[Unit Price Filled]]</f>
        <v>89669.7</v>
      </c>
    </row>
    <row r="10" spans="1:17" x14ac:dyDescent="0.3">
      <c r="A10" s="1" t="s">
        <v>34</v>
      </c>
      <c r="B10" s="1" t="s">
        <v>11</v>
      </c>
      <c r="C10" s="3" t="str">
        <f t="shared" si="1"/>
        <v>East</v>
      </c>
      <c r="D10" s="1" t="s">
        <v>18</v>
      </c>
      <c r="E10" s="1" t="s">
        <v>13</v>
      </c>
      <c r="F10" s="3" t="str">
        <f t="shared" si="0"/>
        <v>Beverages</v>
      </c>
      <c r="G10" s="1" t="s">
        <v>14</v>
      </c>
      <c r="H10" s="1" t="s">
        <v>20</v>
      </c>
      <c r="I10" s="2">
        <v>44935</v>
      </c>
      <c r="J10" s="3">
        <v>404</v>
      </c>
      <c r="K10" s="10" cm="1">
        <f t="array" ref="K10">IF(ISBLANK(Table16[[#This Row],[Units Sold]]),AVERAGE(_xlfn._xlws.FILTER(Table16[Units Sold],NOT(ISBLANK(Table16[Units Sold])))),Table16[[#This Row],[Units Sold]])</f>
        <v>404</v>
      </c>
      <c r="L10" s="3">
        <v>278.74</v>
      </c>
      <c r="M10" s="11" cm="1">
        <f t="array" ref="M10">IF(ISBLANK(Table16[[#This Row],[Unit Price]]),AVERAGE(_xlfn._xlws.FILTER(Table16[Unit Price],NOT(ISBLANK(Table16[Unit Price])))),Table16[[#This Row],[Unit Price]])</f>
        <v>278.74</v>
      </c>
      <c r="N10" s="3">
        <v>66.38</v>
      </c>
      <c r="O10" s="11">
        <f>Table16[[#This Row],[Unit sold Filled]]*Table16[[#This Row],[Unit Price Filled]]</f>
        <v>112610.96</v>
      </c>
    </row>
    <row r="11" spans="1:17" x14ac:dyDescent="0.3">
      <c r="A11" s="1" t="s">
        <v>35</v>
      </c>
      <c r="B11" s="1"/>
      <c r="C11" s="3" t="str">
        <f t="shared" si="1"/>
        <v>West</v>
      </c>
      <c r="D11" s="1" t="s">
        <v>26</v>
      </c>
      <c r="E11" s="1" t="s">
        <v>27</v>
      </c>
      <c r="F11" s="3" t="str">
        <f t="shared" si="0"/>
        <v>Furniture</v>
      </c>
      <c r="G11" s="1" t="s">
        <v>14</v>
      </c>
      <c r="H11" s="1" t="s">
        <v>28</v>
      </c>
      <c r="I11" s="2">
        <v>44936</v>
      </c>
      <c r="J11" s="3">
        <v>452</v>
      </c>
      <c r="K11" s="10" cm="1">
        <f t="array" ref="K11">IF(ISBLANK(Table16[[#This Row],[Units Sold]]),AVERAGE(_xlfn._xlws.FILTER(Table16[Units Sold],NOT(ISBLANK(Table16[Units Sold])))),Table16[[#This Row],[Units Sold]])</f>
        <v>452</v>
      </c>
      <c r="L11" s="3">
        <v>300.75</v>
      </c>
      <c r="M11" s="11" cm="1">
        <f t="array" ref="M11">IF(ISBLANK(Table16[[#This Row],[Unit Price]]),AVERAGE(_xlfn._xlws.FILTER(Table16[Unit Price],NOT(ISBLANK(Table16[Unit Price])))),Table16[[#This Row],[Unit Price]])</f>
        <v>300.75</v>
      </c>
      <c r="N11" s="3">
        <v>314.94</v>
      </c>
      <c r="O11" s="11">
        <f>Table16[[#This Row],[Unit sold Filled]]*Table16[[#This Row],[Unit Price Filled]]</f>
        <v>135939</v>
      </c>
    </row>
    <row r="12" spans="1:17" x14ac:dyDescent="0.3">
      <c r="A12" s="1" t="s">
        <v>36</v>
      </c>
      <c r="B12" s="1" t="s">
        <v>11</v>
      </c>
      <c r="C12" s="3" t="str">
        <f t="shared" si="1"/>
        <v>East</v>
      </c>
      <c r="D12" s="1" t="s">
        <v>26</v>
      </c>
      <c r="E12" s="1" t="s">
        <v>19</v>
      </c>
      <c r="F12" s="3" t="str">
        <f t="shared" si="0"/>
        <v>Food</v>
      </c>
      <c r="G12" s="1" t="s">
        <v>14</v>
      </c>
      <c r="H12" s="1" t="s">
        <v>20</v>
      </c>
      <c r="I12" s="2">
        <v>44937</v>
      </c>
      <c r="J12" s="3">
        <v>235</v>
      </c>
      <c r="K12" s="10" cm="1">
        <f t="array" ref="K12">IF(ISBLANK(Table16[[#This Row],[Units Sold]]),AVERAGE(_xlfn._xlws.FILTER(Table16[Units Sold],NOT(ISBLANK(Table16[Units Sold])))),Table16[[#This Row],[Units Sold]])</f>
        <v>235</v>
      </c>
      <c r="L12" s="3">
        <v>393</v>
      </c>
      <c r="M12" s="11" cm="1">
        <f t="array" ref="M12">IF(ISBLANK(Table16[[#This Row],[Unit Price]]),AVERAGE(_xlfn._xlws.FILTER(Table16[Unit Price],NOT(ISBLANK(Table16[Unit Price])))),Table16[[#This Row],[Unit Price]])</f>
        <v>393</v>
      </c>
      <c r="N12" s="3">
        <v>230.69</v>
      </c>
      <c r="O12" s="11">
        <f>Table16[[#This Row],[Unit sold Filled]]*Table16[[#This Row],[Unit Price Filled]]</f>
        <v>92355</v>
      </c>
    </row>
    <row r="13" spans="1:17" x14ac:dyDescent="0.3">
      <c r="A13" s="1" t="s">
        <v>37</v>
      </c>
      <c r="B13" s="1" t="s">
        <v>11</v>
      </c>
      <c r="C13" s="3" t="str">
        <f t="shared" si="1"/>
        <v>East</v>
      </c>
      <c r="D13" s="1" t="s">
        <v>31</v>
      </c>
      <c r="E13" s="1" t="s">
        <v>27</v>
      </c>
      <c r="F13" s="3" t="str">
        <f t="shared" si="0"/>
        <v>Furniture</v>
      </c>
      <c r="G13" s="1" t="s">
        <v>24</v>
      </c>
      <c r="H13" s="1" t="s">
        <v>28</v>
      </c>
      <c r="I13" s="2">
        <v>44938</v>
      </c>
      <c r="J13" s="3">
        <v>481</v>
      </c>
      <c r="K13" s="10" cm="1">
        <f t="array" ref="K13">IF(ISBLANK(Table16[[#This Row],[Units Sold]]),AVERAGE(_xlfn._xlws.FILTER(Table16[Units Sold],NOT(ISBLANK(Table16[Units Sold])))),Table16[[#This Row],[Units Sold]])</f>
        <v>481</v>
      </c>
      <c r="L13" s="3">
        <v>243.05</v>
      </c>
      <c r="M13" s="11" cm="1">
        <f t="array" ref="M13">IF(ISBLANK(Table16[[#This Row],[Unit Price]]),AVERAGE(_xlfn._xlws.FILTER(Table16[Unit Price],NOT(ISBLANK(Table16[Unit Price])))),Table16[[#This Row],[Unit Price]])</f>
        <v>243.05</v>
      </c>
      <c r="N13" s="3">
        <v>227.5</v>
      </c>
      <c r="O13" s="11">
        <f>Table16[[#This Row],[Unit sold Filled]]*Table16[[#This Row],[Unit Price Filled]]</f>
        <v>116907.05</v>
      </c>
    </row>
    <row r="14" spans="1:17" x14ac:dyDescent="0.3">
      <c r="A14" s="1" t="s">
        <v>38</v>
      </c>
      <c r="B14" s="1" t="s">
        <v>11</v>
      </c>
      <c r="C14" s="3" t="str">
        <f t="shared" si="1"/>
        <v>East</v>
      </c>
      <c r="D14" s="1" t="s">
        <v>12</v>
      </c>
      <c r="E14" s="1" t="s">
        <v>19</v>
      </c>
      <c r="F14" s="3" t="str">
        <f t="shared" si="0"/>
        <v>Food</v>
      </c>
      <c r="G14" s="1" t="s">
        <v>24</v>
      </c>
      <c r="H14" s="1" t="s">
        <v>20</v>
      </c>
      <c r="I14" s="2">
        <v>44939</v>
      </c>
      <c r="J14" s="3">
        <v>133</v>
      </c>
      <c r="K14" s="10" cm="1">
        <f t="array" ref="K14">IF(ISBLANK(Table16[[#This Row],[Units Sold]]),AVERAGE(_xlfn._xlws.FILTER(Table16[Units Sold],NOT(ISBLANK(Table16[Units Sold])))),Table16[[#This Row],[Units Sold]])</f>
        <v>133</v>
      </c>
      <c r="L14" s="3">
        <v>25.17</v>
      </c>
      <c r="M14" s="11" cm="1">
        <f t="array" ref="M14">IF(ISBLANK(Table16[[#This Row],[Unit Price]]),AVERAGE(_xlfn._xlws.FILTER(Table16[Unit Price],NOT(ISBLANK(Table16[Unit Price])))),Table16[[#This Row],[Unit Price]])</f>
        <v>25.17</v>
      </c>
      <c r="N14" s="3">
        <v>157.63999999999999</v>
      </c>
      <c r="O14" s="11">
        <f>Table16[[#This Row],[Unit sold Filled]]*Table16[[#This Row],[Unit Price Filled]]</f>
        <v>3347.61</v>
      </c>
    </row>
    <row r="15" spans="1:17" x14ac:dyDescent="0.3">
      <c r="A15" s="1" t="s">
        <v>39</v>
      </c>
      <c r="B15" s="1" t="s">
        <v>11</v>
      </c>
      <c r="C15" s="3" t="str">
        <f t="shared" si="1"/>
        <v>East</v>
      </c>
      <c r="D15" s="1" t="s">
        <v>26</v>
      </c>
      <c r="E15" s="1" t="s">
        <v>19</v>
      </c>
      <c r="F15" s="3" t="str">
        <f t="shared" si="0"/>
        <v>Food</v>
      </c>
      <c r="G15" s="1" t="s">
        <v>24</v>
      </c>
      <c r="H15" s="1" t="s">
        <v>20</v>
      </c>
      <c r="I15" s="2">
        <v>44940</v>
      </c>
      <c r="J15" s="3">
        <v>472</v>
      </c>
      <c r="K15" s="10" cm="1">
        <f t="array" ref="K15">IF(ISBLANK(Table16[[#This Row],[Units Sold]]),AVERAGE(_xlfn._xlws.FILTER(Table16[Units Sold],NOT(ISBLANK(Table16[Units Sold])))),Table16[[#This Row],[Units Sold]])</f>
        <v>472</v>
      </c>
      <c r="L15" s="3">
        <v>86.18</v>
      </c>
      <c r="M15" s="11" cm="1">
        <f t="array" ref="M15">IF(ISBLANK(Table16[[#This Row],[Unit Price]]),AVERAGE(_xlfn._xlws.FILTER(Table16[Unit Price],NOT(ISBLANK(Table16[Unit Price])))),Table16[[#This Row],[Unit Price]])</f>
        <v>86.18</v>
      </c>
      <c r="N15" s="3">
        <v>201.46</v>
      </c>
      <c r="O15" s="11">
        <f>Table16[[#This Row],[Unit sold Filled]]*Table16[[#This Row],[Unit Price Filled]]</f>
        <v>40676.960000000006</v>
      </c>
    </row>
    <row r="16" spans="1:17" x14ac:dyDescent="0.3">
      <c r="A16" s="1" t="s">
        <v>40</v>
      </c>
      <c r="B16" s="1" t="s">
        <v>17</v>
      </c>
      <c r="C16" s="3" t="str">
        <f t="shared" si="1"/>
        <v>West</v>
      </c>
      <c r="D16" s="1" t="s">
        <v>18</v>
      </c>
      <c r="E16" s="1" t="s">
        <v>13</v>
      </c>
      <c r="F16" s="3" t="str">
        <f t="shared" si="0"/>
        <v>Beverages</v>
      </c>
      <c r="G16" s="1" t="s">
        <v>24</v>
      </c>
      <c r="H16" s="1" t="s">
        <v>20</v>
      </c>
      <c r="I16" s="2">
        <v>44941</v>
      </c>
      <c r="J16" s="3">
        <v>47</v>
      </c>
      <c r="K16" s="10" cm="1">
        <f t="array" ref="K16">IF(ISBLANK(Table16[[#This Row],[Units Sold]]),AVERAGE(_xlfn._xlws.FILTER(Table16[Units Sold],NOT(ISBLANK(Table16[Units Sold])))),Table16[[#This Row],[Units Sold]])</f>
        <v>47</v>
      </c>
      <c r="L16" s="3">
        <v>222.11</v>
      </c>
      <c r="M16" s="11" cm="1">
        <f t="array" ref="M16">IF(ISBLANK(Table16[[#This Row],[Unit Price]]),AVERAGE(_xlfn._xlws.FILTER(Table16[Unit Price],NOT(ISBLANK(Table16[Unit Price])))),Table16[[#This Row],[Unit Price]])</f>
        <v>222.11</v>
      </c>
      <c r="N16" s="3">
        <v>160.08000000000001</v>
      </c>
      <c r="O16" s="11">
        <f>Table16[[#This Row],[Unit sold Filled]]*Table16[[#This Row],[Unit Price Filled]]</f>
        <v>10439.17</v>
      </c>
    </row>
    <row r="17" spans="1:15" x14ac:dyDescent="0.3">
      <c r="A17" s="1" t="s">
        <v>41</v>
      </c>
      <c r="B17" s="1" t="s">
        <v>22</v>
      </c>
      <c r="C17" s="3" t="str">
        <f t="shared" si="1"/>
        <v>North</v>
      </c>
      <c r="D17" s="1" t="s">
        <v>12</v>
      </c>
      <c r="E17" s="1" t="s">
        <v>42</v>
      </c>
      <c r="F17" s="3" t="str">
        <f t="shared" si="0"/>
        <v>Electronics</v>
      </c>
      <c r="G17" s="1" t="s">
        <v>14</v>
      </c>
      <c r="H17" s="1" t="s">
        <v>15</v>
      </c>
      <c r="I17" s="2">
        <v>44942</v>
      </c>
      <c r="J17" s="3">
        <v>337</v>
      </c>
      <c r="K17" s="10" cm="1">
        <f t="array" ref="K17">IF(ISBLANK(Table16[[#This Row],[Units Sold]]),AVERAGE(_xlfn._xlws.FILTER(Table16[Units Sold],NOT(ISBLANK(Table16[Units Sold])))),Table16[[#This Row],[Units Sold]])</f>
        <v>337</v>
      </c>
      <c r="L17" s="3">
        <v>363.79</v>
      </c>
      <c r="M17" s="11" cm="1">
        <f t="array" ref="M17">IF(ISBLANK(Table16[[#This Row],[Unit Price]]),AVERAGE(_xlfn._xlws.FILTER(Table16[Unit Price],NOT(ISBLANK(Table16[Unit Price])))),Table16[[#This Row],[Unit Price]])</f>
        <v>363.79</v>
      </c>
      <c r="N17" s="3">
        <v>216.81</v>
      </c>
      <c r="O17" s="11">
        <f>Table16[[#This Row],[Unit sold Filled]]*Table16[[#This Row],[Unit Price Filled]]</f>
        <v>122597.23000000001</v>
      </c>
    </row>
    <row r="18" spans="1:15" x14ac:dyDescent="0.3">
      <c r="A18" s="1" t="s">
        <v>43</v>
      </c>
      <c r="B18" s="1" t="s">
        <v>17</v>
      </c>
      <c r="C18" s="3" t="str">
        <f t="shared" si="1"/>
        <v>West</v>
      </c>
      <c r="D18" s="1" t="s">
        <v>12</v>
      </c>
      <c r="E18" s="1" t="s">
        <v>42</v>
      </c>
      <c r="F18" s="3" t="str">
        <f t="shared" si="0"/>
        <v>Electronics</v>
      </c>
      <c r="G18" s="1" t="s">
        <v>14</v>
      </c>
      <c r="H18" s="1" t="s">
        <v>15</v>
      </c>
      <c r="I18" s="2">
        <v>44943</v>
      </c>
      <c r="J18" s="3">
        <v>260</v>
      </c>
      <c r="K18" s="10" cm="1">
        <f t="array" ref="K18">IF(ISBLANK(Table16[[#This Row],[Units Sold]]),AVERAGE(_xlfn._xlws.FILTER(Table16[Units Sold],NOT(ISBLANK(Table16[Units Sold])))),Table16[[#This Row],[Units Sold]])</f>
        <v>260</v>
      </c>
      <c r="L18" s="3">
        <v>298.67</v>
      </c>
      <c r="M18" s="11" cm="1">
        <f t="array" ref="M18">IF(ISBLANK(Table16[[#This Row],[Unit Price]]),AVERAGE(_xlfn._xlws.FILTER(Table16[Unit Price],NOT(ISBLANK(Table16[Unit Price])))),Table16[[#This Row],[Unit Price]])</f>
        <v>298.67</v>
      </c>
      <c r="N18" s="3">
        <v>251.92</v>
      </c>
      <c r="O18" s="11">
        <f>Table16[[#This Row],[Unit sold Filled]]*Table16[[#This Row],[Unit Price Filled]]</f>
        <v>77654.2</v>
      </c>
    </row>
    <row r="19" spans="1:15" x14ac:dyDescent="0.3">
      <c r="A19" s="1" t="s">
        <v>44</v>
      </c>
      <c r="B19" s="1"/>
      <c r="C19" s="3" t="str">
        <f t="shared" si="1"/>
        <v>West</v>
      </c>
      <c r="D19" s="1" t="s">
        <v>18</v>
      </c>
      <c r="E19" s="1" t="s">
        <v>23</v>
      </c>
      <c r="F19" s="3" t="str">
        <f t="shared" si="0"/>
        <v>Clothing</v>
      </c>
      <c r="G19" s="1" t="s">
        <v>24</v>
      </c>
      <c r="H19" s="1" t="s">
        <v>28</v>
      </c>
      <c r="I19" s="2">
        <v>44944</v>
      </c>
      <c r="J19" s="3">
        <v>398</v>
      </c>
      <c r="K19" s="10" cm="1">
        <f t="array" ref="K19">IF(ISBLANK(Table16[[#This Row],[Units Sold]]),AVERAGE(_xlfn._xlws.FILTER(Table16[Units Sold],NOT(ISBLANK(Table16[Units Sold])))),Table16[[#This Row],[Units Sold]])</f>
        <v>398</v>
      </c>
      <c r="L19" s="3">
        <v>326.89999999999998</v>
      </c>
      <c r="M19" s="11" cm="1">
        <f t="array" ref="M19">IF(ISBLANK(Table16[[#This Row],[Unit Price]]),AVERAGE(_xlfn._xlws.FILTER(Table16[Unit Price],NOT(ISBLANK(Table16[Unit Price])))),Table16[[#This Row],[Unit Price]])</f>
        <v>326.89999999999998</v>
      </c>
      <c r="N19" s="3">
        <v>270.37</v>
      </c>
      <c r="O19" s="11">
        <f>Table16[[#This Row],[Unit sold Filled]]*Table16[[#This Row],[Unit Price Filled]]</f>
        <v>130106.2</v>
      </c>
    </row>
    <row r="20" spans="1:15" x14ac:dyDescent="0.3">
      <c r="A20" s="1" t="s">
        <v>45</v>
      </c>
      <c r="B20" s="1" t="s">
        <v>17</v>
      </c>
      <c r="C20" s="3" t="str">
        <f t="shared" si="1"/>
        <v>West</v>
      </c>
      <c r="D20" s="1" t="s">
        <v>26</v>
      </c>
      <c r="E20" s="1" t="s">
        <v>13</v>
      </c>
      <c r="F20" s="3" t="str">
        <f t="shared" si="0"/>
        <v>Beverages</v>
      </c>
      <c r="G20" s="1" t="s">
        <v>14</v>
      </c>
      <c r="H20" s="1" t="s">
        <v>28</v>
      </c>
      <c r="I20" s="2">
        <v>44945</v>
      </c>
      <c r="J20" s="3">
        <v>185</v>
      </c>
      <c r="K20" s="10" cm="1">
        <f t="array" ref="K20">IF(ISBLANK(Table16[[#This Row],[Units Sold]]),AVERAGE(_xlfn._xlws.FILTER(Table16[Units Sold],NOT(ISBLANK(Table16[Units Sold])))),Table16[[#This Row],[Units Sold]])</f>
        <v>185</v>
      </c>
      <c r="L20" s="3">
        <v>242.24</v>
      </c>
      <c r="M20" s="11" cm="1">
        <f t="array" ref="M20">IF(ISBLANK(Table16[[#This Row],[Unit Price]]),AVERAGE(_xlfn._xlws.FILTER(Table16[Unit Price],NOT(ISBLANK(Table16[Unit Price])))),Table16[[#This Row],[Unit Price]])</f>
        <v>242.24</v>
      </c>
      <c r="N20" s="3">
        <v>213.93</v>
      </c>
      <c r="O20" s="11">
        <f>Table16[[#This Row],[Unit sold Filled]]*Table16[[#This Row],[Unit Price Filled]]</f>
        <v>44814.400000000001</v>
      </c>
    </row>
    <row r="21" spans="1:15" x14ac:dyDescent="0.3">
      <c r="A21" s="1" t="s">
        <v>46</v>
      </c>
      <c r="B21" s="1" t="s">
        <v>11</v>
      </c>
      <c r="C21" s="3" t="str">
        <f t="shared" si="1"/>
        <v>East</v>
      </c>
      <c r="D21" s="1" t="s">
        <v>18</v>
      </c>
      <c r="E21" s="1" t="s">
        <v>19</v>
      </c>
      <c r="F21" s="3" t="str">
        <f t="shared" si="0"/>
        <v>Food</v>
      </c>
      <c r="G21" s="1" t="s">
        <v>24</v>
      </c>
      <c r="H21" s="1" t="s">
        <v>15</v>
      </c>
      <c r="I21" s="2">
        <v>44946</v>
      </c>
      <c r="J21" s="3">
        <v>99</v>
      </c>
      <c r="K21" s="10" cm="1">
        <f t="array" ref="K21">IF(ISBLANK(Table16[[#This Row],[Units Sold]]),AVERAGE(_xlfn._xlws.FILTER(Table16[Units Sold],NOT(ISBLANK(Table16[Units Sold])))),Table16[[#This Row],[Units Sold]])</f>
        <v>99</v>
      </c>
      <c r="L21" s="3">
        <v>309.79000000000002</v>
      </c>
      <c r="M21" s="11" cm="1">
        <f t="array" ref="M21">IF(ISBLANK(Table16[[#This Row],[Unit Price]]),AVERAGE(_xlfn._xlws.FILTER(Table16[Unit Price],NOT(ISBLANK(Table16[Unit Price])))),Table16[[#This Row],[Unit Price]])</f>
        <v>309.79000000000002</v>
      </c>
      <c r="N21" s="3">
        <v>289.13</v>
      </c>
      <c r="O21" s="11">
        <f>Table16[[#This Row],[Unit sold Filled]]*Table16[[#This Row],[Unit Price Filled]]</f>
        <v>30669.210000000003</v>
      </c>
    </row>
    <row r="22" spans="1:15" x14ac:dyDescent="0.3">
      <c r="A22" s="1" t="s">
        <v>47</v>
      </c>
      <c r="B22" s="1" t="s">
        <v>48</v>
      </c>
      <c r="C22" s="3" t="str">
        <f t="shared" si="1"/>
        <v>South</v>
      </c>
      <c r="D22" s="1" t="s">
        <v>12</v>
      </c>
      <c r="E22" s="1" t="s">
        <v>42</v>
      </c>
      <c r="F22" s="3" t="str">
        <f t="shared" si="0"/>
        <v>Electronics</v>
      </c>
      <c r="G22" s="1" t="s">
        <v>24</v>
      </c>
      <c r="H22" s="1" t="s">
        <v>28</v>
      </c>
      <c r="I22" s="2">
        <v>44947</v>
      </c>
      <c r="J22" s="3">
        <v>411</v>
      </c>
      <c r="K22" s="10" cm="1">
        <f t="array" ref="K22">IF(ISBLANK(Table16[[#This Row],[Units Sold]]),AVERAGE(_xlfn._xlws.FILTER(Table16[Units Sold],NOT(ISBLANK(Table16[Units Sold])))),Table16[[#This Row],[Units Sold]])</f>
        <v>411</v>
      </c>
      <c r="L22" s="3">
        <v>167.86</v>
      </c>
      <c r="M22" s="11" cm="1">
        <f t="array" ref="M22">IF(ISBLANK(Table16[[#This Row],[Unit Price]]),AVERAGE(_xlfn._xlws.FILTER(Table16[Unit Price],NOT(ISBLANK(Table16[Unit Price])))),Table16[[#This Row],[Unit Price]])</f>
        <v>167.86</v>
      </c>
      <c r="N22" s="3">
        <v>58.23</v>
      </c>
      <c r="O22" s="11">
        <f>Table16[[#This Row],[Unit sold Filled]]*Table16[[#This Row],[Unit Price Filled]]</f>
        <v>68990.460000000006</v>
      </c>
    </row>
    <row r="23" spans="1:15" x14ac:dyDescent="0.3">
      <c r="A23" s="1" t="s">
        <v>49</v>
      </c>
      <c r="B23" s="1" t="s">
        <v>22</v>
      </c>
      <c r="C23" s="3" t="str">
        <f t="shared" si="1"/>
        <v>North</v>
      </c>
      <c r="D23" s="1" t="s">
        <v>50</v>
      </c>
      <c r="E23" s="1" t="s">
        <v>19</v>
      </c>
      <c r="F23" s="3" t="str">
        <f t="shared" si="0"/>
        <v>Food</v>
      </c>
      <c r="G23" s="1" t="s">
        <v>24</v>
      </c>
      <c r="H23" s="1" t="s">
        <v>15</v>
      </c>
      <c r="I23" s="2">
        <v>44948</v>
      </c>
      <c r="J23" s="3">
        <v>463</v>
      </c>
      <c r="K23" s="10" cm="1">
        <f t="array" ref="K23">IF(ISBLANK(Table16[[#This Row],[Units Sold]]),AVERAGE(_xlfn._xlws.FILTER(Table16[Units Sold],NOT(ISBLANK(Table16[Units Sold])))),Table16[[#This Row],[Units Sold]])</f>
        <v>463</v>
      </c>
      <c r="L23" s="3">
        <v>237.74</v>
      </c>
      <c r="M23" s="11" cm="1">
        <f t="array" ref="M23">IF(ISBLANK(Table16[[#This Row],[Unit Price]]),AVERAGE(_xlfn._xlws.FILTER(Table16[Unit Price],NOT(ISBLANK(Table16[Unit Price])))),Table16[[#This Row],[Unit Price]])</f>
        <v>237.74</v>
      </c>
      <c r="N23" s="3">
        <v>86.37</v>
      </c>
      <c r="O23" s="11">
        <f>Table16[[#This Row],[Unit sold Filled]]*Table16[[#This Row],[Unit Price Filled]]</f>
        <v>110073.62000000001</v>
      </c>
    </row>
    <row r="24" spans="1:15" x14ac:dyDescent="0.3">
      <c r="A24" s="1" t="s">
        <v>51</v>
      </c>
      <c r="B24" s="1" t="s">
        <v>48</v>
      </c>
      <c r="C24" s="3" t="str">
        <f t="shared" si="1"/>
        <v>South</v>
      </c>
      <c r="D24" s="1" t="s">
        <v>50</v>
      </c>
      <c r="E24" s="1" t="s">
        <v>42</v>
      </c>
      <c r="F24" s="3" t="str">
        <f t="shared" si="0"/>
        <v>Electronics</v>
      </c>
      <c r="G24" s="1" t="s">
        <v>14</v>
      </c>
      <c r="H24" s="1" t="s">
        <v>20</v>
      </c>
      <c r="I24" s="2">
        <v>44949</v>
      </c>
      <c r="J24" s="3">
        <v>46</v>
      </c>
      <c r="K24" s="10" cm="1">
        <f t="array" ref="K24">IF(ISBLANK(Table16[[#This Row],[Units Sold]]),AVERAGE(_xlfn._xlws.FILTER(Table16[Units Sold],NOT(ISBLANK(Table16[Units Sold])))),Table16[[#This Row],[Units Sold]])</f>
        <v>46</v>
      </c>
      <c r="L24" s="3">
        <v>373.42</v>
      </c>
      <c r="M24" s="11" cm="1">
        <f t="array" ref="M24">IF(ISBLANK(Table16[[#This Row],[Unit Price]]),AVERAGE(_xlfn._xlws.FILTER(Table16[Unit Price],NOT(ISBLANK(Table16[Unit Price])))),Table16[[#This Row],[Unit Price]])</f>
        <v>373.42</v>
      </c>
      <c r="N24" s="3">
        <v>327.86</v>
      </c>
      <c r="O24" s="11">
        <f>Table16[[#This Row],[Unit sold Filled]]*Table16[[#This Row],[Unit Price Filled]]</f>
        <v>17177.32</v>
      </c>
    </row>
    <row r="25" spans="1:15" x14ac:dyDescent="0.3">
      <c r="A25" s="1" t="s">
        <v>52</v>
      </c>
      <c r="B25" s="1" t="s">
        <v>17</v>
      </c>
      <c r="C25" s="3" t="str">
        <f t="shared" si="1"/>
        <v>West</v>
      </c>
      <c r="D25" s="1" t="s">
        <v>31</v>
      </c>
      <c r="E25" s="1" t="s">
        <v>42</v>
      </c>
      <c r="F25" s="3" t="str">
        <f t="shared" si="0"/>
        <v>Electronics</v>
      </c>
      <c r="G25" s="1" t="s">
        <v>24</v>
      </c>
      <c r="H25" s="1" t="s">
        <v>28</v>
      </c>
      <c r="I25" s="2">
        <v>44950</v>
      </c>
      <c r="J25" s="3">
        <v>325</v>
      </c>
      <c r="K25" s="10" cm="1">
        <f t="array" ref="K25">IF(ISBLANK(Table16[[#This Row],[Units Sold]]),AVERAGE(_xlfn._xlws.FILTER(Table16[Units Sold],NOT(ISBLANK(Table16[Units Sold])))),Table16[[#This Row],[Units Sold]])</f>
        <v>325</v>
      </c>
      <c r="L25" s="3">
        <v>436.56</v>
      </c>
      <c r="M25" s="11" cm="1">
        <f t="array" ref="M25">IF(ISBLANK(Table16[[#This Row],[Unit Price]]),AVERAGE(_xlfn._xlws.FILTER(Table16[Unit Price],NOT(ISBLANK(Table16[Unit Price])))),Table16[[#This Row],[Unit Price]])</f>
        <v>436.56</v>
      </c>
      <c r="N25" s="3">
        <v>130.37</v>
      </c>
      <c r="O25" s="11">
        <f>Table16[[#This Row],[Unit sold Filled]]*Table16[[#This Row],[Unit Price Filled]]</f>
        <v>141882</v>
      </c>
    </row>
    <row r="26" spans="1:15" x14ac:dyDescent="0.3">
      <c r="A26" s="1" t="s">
        <v>53</v>
      </c>
      <c r="B26" s="1" t="s">
        <v>17</v>
      </c>
      <c r="C26" s="3" t="str">
        <f t="shared" si="1"/>
        <v>West</v>
      </c>
      <c r="D26" s="1" t="s">
        <v>18</v>
      </c>
      <c r="E26" s="1"/>
      <c r="F26" s="3" t="str">
        <f t="shared" si="0"/>
        <v>Unknown</v>
      </c>
      <c r="G26" s="1" t="s">
        <v>24</v>
      </c>
      <c r="H26" s="1" t="s">
        <v>28</v>
      </c>
      <c r="I26" s="2">
        <v>44951</v>
      </c>
      <c r="J26" s="3">
        <v>185</v>
      </c>
      <c r="K26" s="10" cm="1">
        <f t="array" ref="K26">IF(ISBLANK(Table16[[#This Row],[Units Sold]]),AVERAGE(_xlfn._xlws.FILTER(Table16[Units Sold],NOT(ISBLANK(Table16[Units Sold])))),Table16[[#This Row],[Units Sold]])</f>
        <v>185</v>
      </c>
      <c r="L26" s="3">
        <v>219.66</v>
      </c>
      <c r="M26" s="11" cm="1">
        <f t="array" ref="M26">IF(ISBLANK(Table16[[#This Row],[Unit Price]]),AVERAGE(_xlfn._xlws.FILTER(Table16[Unit Price],NOT(ISBLANK(Table16[Unit Price])))),Table16[[#This Row],[Unit Price]])</f>
        <v>219.66</v>
      </c>
      <c r="N26" s="3">
        <v>11.11</v>
      </c>
      <c r="O26" s="11">
        <f>Table16[[#This Row],[Unit sold Filled]]*Table16[[#This Row],[Unit Price Filled]]</f>
        <v>40637.1</v>
      </c>
    </row>
    <row r="27" spans="1:15" x14ac:dyDescent="0.3">
      <c r="A27" s="1" t="s">
        <v>54</v>
      </c>
      <c r="B27" s="1" t="s">
        <v>48</v>
      </c>
      <c r="C27" s="3" t="str">
        <f t="shared" si="1"/>
        <v>South</v>
      </c>
      <c r="D27" s="1" t="s">
        <v>18</v>
      </c>
      <c r="E27" s="1" t="s">
        <v>13</v>
      </c>
      <c r="F27" s="3" t="str">
        <f t="shared" si="0"/>
        <v>Beverages</v>
      </c>
      <c r="G27" s="1" t="s">
        <v>24</v>
      </c>
      <c r="H27" s="1" t="s">
        <v>15</v>
      </c>
      <c r="I27" s="2">
        <v>44952</v>
      </c>
      <c r="J27" s="3">
        <v>470</v>
      </c>
      <c r="K27" s="10" cm="1">
        <f t="array" ref="K27">IF(ISBLANK(Table16[[#This Row],[Units Sold]]),AVERAGE(_xlfn._xlws.FILTER(Table16[Units Sold],NOT(ISBLANK(Table16[Units Sold])))),Table16[[#This Row],[Units Sold]])</f>
        <v>470</v>
      </c>
      <c r="L27" s="3">
        <v>26.61</v>
      </c>
      <c r="M27" s="11" cm="1">
        <f t="array" ref="M27">IF(ISBLANK(Table16[[#This Row],[Unit Price]]),AVERAGE(_xlfn._xlws.FILTER(Table16[Unit Price],NOT(ISBLANK(Table16[Unit Price])))),Table16[[#This Row],[Unit Price]])</f>
        <v>26.61</v>
      </c>
      <c r="N27" s="3">
        <v>63.21</v>
      </c>
      <c r="O27" s="11">
        <f>Table16[[#This Row],[Unit sold Filled]]*Table16[[#This Row],[Unit Price Filled]]</f>
        <v>12506.699999999999</v>
      </c>
    </row>
    <row r="28" spans="1:15" x14ac:dyDescent="0.3">
      <c r="A28" s="1" t="s">
        <v>55</v>
      </c>
      <c r="B28" s="1" t="s">
        <v>48</v>
      </c>
      <c r="C28" s="3" t="str">
        <f t="shared" si="1"/>
        <v>South</v>
      </c>
      <c r="D28" s="1" t="s">
        <v>31</v>
      </c>
      <c r="E28" s="1" t="s">
        <v>27</v>
      </c>
      <c r="F28" s="3" t="str">
        <f t="shared" si="0"/>
        <v>Furniture</v>
      </c>
      <c r="G28" s="1" t="s">
        <v>14</v>
      </c>
      <c r="H28" s="1" t="s">
        <v>28</v>
      </c>
      <c r="I28" s="2">
        <v>44953</v>
      </c>
      <c r="J28" s="3">
        <v>293</v>
      </c>
      <c r="K28" s="10" cm="1">
        <f t="array" ref="K28">IF(ISBLANK(Table16[[#This Row],[Units Sold]]),AVERAGE(_xlfn._xlws.FILTER(Table16[Units Sold],NOT(ISBLANK(Table16[Units Sold])))),Table16[[#This Row],[Units Sold]])</f>
        <v>293</v>
      </c>
      <c r="L28" s="3">
        <v>85.03</v>
      </c>
      <c r="M28" s="11" cm="1">
        <f t="array" ref="M28">IF(ISBLANK(Table16[[#This Row],[Unit Price]]),AVERAGE(_xlfn._xlws.FILTER(Table16[Unit Price],NOT(ISBLANK(Table16[Unit Price])))),Table16[[#This Row],[Unit Price]])</f>
        <v>85.03</v>
      </c>
      <c r="N28" s="3">
        <v>91</v>
      </c>
      <c r="O28" s="11">
        <f>Table16[[#This Row],[Unit sold Filled]]*Table16[[#This Row],[Unit Price Filled]]</f>
        <v>24913.79</v>
      </c>
    </row>
    <row r="29" spans="1:15" x14ac:dyDescent="0.3">
      <c r="A29" s="1" t="s">
        <v>56</v>
      </c>
      <c r="B29" s="1" t="s">
        <v>48</v>
      </c>
      <c r="C29" s="3" t="str">
        <f t="shared" si="1"/>
        <v>South</v>
      </c>
      <c r="D29" s="1" t="s">
        <v>31</v>
      </c>
      <c r="E29" s="1" t="s">
        <v>19</v>
      </c>
      <c r="F29" s="3" t="str">
        <f t="shared" si="0"/>
        <v>Food</v>
      </c>
      <c r="G29" s="1" t="s">
        <v>14</v>
      </c>
      <c r="H29" s="1" t="s">
        <v>28</v>
      </c>
      <c r="I29" s="2">
        <v>44954</v>
      </c>
      <c r="J29" s="3">
        <v>462</v>
      </c>
      <c r="K29" s="10" cm="1">
        <f t="array" ref="K29">IF(ISBLANK(Table16[[#This Row],[Units Sold]]),AVERAGE(_xlfn._xlws.FILTER(Table16[Units Sold],NOT(ISBLANK(Table16[Units Sold])))),Table16[[#This Row],[Units Sold]])</f>
        <v>462</v>
      </c>
      <c r="L29" s="1"/>
      <c r="M29" s="11" cm="1">
        <f t="array" ref="M29">IF(ISBLANK(Table16[[#This Row],[Unit Price]]),AVERAGE(_xlfn._xlws.FILTER(Table16[Unit Price],NOT(ISBLANK(Table16[Unit Price])))),Table16[[#This Row],[Unit Price]])</f>
        <v>249.64520588235297</v>
      </c>
      <c r="N29" s="3">
        <v>383.01</v>
      </c>
      <c r="O29" s="11">
        <f>Table16[[#This Row],[Unit sold Filled]]*Table16[[#This Row],[Unit Price Filled]]</f>
        <v>115336.08511764708</v>
      </c>
    </row>
    <row r="30" spans="1:15" x14ac:dyDescent="0.3">
      <c r="A30" s="1" t="s">
        <v>57</v>
      </c>
      <c r="B30" s="1" t="s">
        <v>17</v>
      </c>
      <c r="C30" s="3" t="str">
        <f t="shared" si="1"/>
        <v>West</v>
      </c>
      <c r="D30" s="1" t="s">
        <v>31</v>
      </c>
      <c r="E30" s="1" t="s">
        <v>13</v>
      </c>
      <c r="F30" s="3" t="str">
        <f t="shared" si="0"/>
        <v>Beverages</v>
      </c>
      <c r="G30" s="1" t="s">
        <v>24</v>
      </c>
      <c r="H30" s="1" t="s">
        <v>20</v>
      </c>
      <c r="I30" s="2">
        <v>44955</v>
      </c>
      <c r="J30" s="3">
        <v>470</v>
      </c>
      <c r="K30" s="10" cm="1">
        <f t="array" ref="K30">IF(ISBLANK(Table16[[#This Row],[Units Sold]]),AVERAGE(_xlfn._xlws.FILTER(Table16[Units Sold],NOT(ISBLANK(Table16[Units Sold])))),Table16[[#This Row],[Units Sold]])</f>
        <v>470</v>
      </c>
      <c r="L30" s="3">
        <v>328.37</v>
      </c>
      <c r="M30" s="11" cm="1">
        <f t="array" ref="M30">IF(ISBLANK(Table16[[#This Row],[Unit Price]]),AVERAGE(_xlfn._xlws.FILTER(Table16[Unit Price],NOT(ISBLANK(Table16[Unit Price])))),Table16[[#This Row],[Unit Price]])</f>
        <v>328.37</v>
      </c>
      <c r="N30" s="3">
        <v>230.07</v>
      </c>
      <c r="O30" s="11">
        <f>Table16[[#This Row],[Unit sold Filled]]*Table16[[#This Row],[Unit Price Filled]]</f>
        <v>154333.9</v>
      </c>
    </row>
    <row r="31" spans="1:15" x14ac:dyDescent="0.3">
      <c r="A31" s="1" t="s">
        <v>58</v>
      </c>
      <c r="B31" s="1" t="s">
        <v>17</v>
      </c>
      <c r="C31" s="3" t="str">
        <f t="shared" si="1"/>
        <v>West</v>
      </c>
      <c r="D31" s="1" t="s">
        <v>12</v>
      </c>
      <c r="E31" s="1" t="s">
        <v>13</v>
      </c>
      <c r="F31" s="3" t="str">
        <f t="shared" si="0"/>
        <v>Beverages</v>
      </c>
      <c r="G31" s="1" t="s">
        <v>14</v>
      </c>
      <c r="H31" s="1" t="s">
        <v>28</v>
      </c>
      <c r="I31" s="2">
        <v>44956</v>
      </c>
      <c r="J31" s="3">
        <v>90</v>
      </c>
      <c r="K31" s="10" cm="1">
        <f t="array" ref="K31">IF(ISBLANK(Table16[[#This Row],[Units Sold]]),AVERAGE(_xlfn._xlws.FILTER(Table16[Units Sold],NOT(ISBLANK(Table16[Units Sold])))),Table16[[#This Row],[Units Sold]])</f>
        <v>90</v>
      </c>
      <c r="L31" s="3">
        <v>169.5</v>
      </c>
      <c r="M31" s="11" cm="1">
        <f t="array" ref="M31">IF(ISBLANK(Table16[[#This Row],[Unit Price]]),AVERAGE(_xlfn._xlws.FILTER(Table16[Unit Price],NOT(ISBLANK(Table16[Unit Price])))),Table16[[#This Row],[Unit Price]])</f>
        <v>169.5</v>
      </c>
      <c r="N31" s="3">
        <v>373.23</v>
      </c>
      <c r="O31" s="11">
        <f>Table16[[#This Row],[Unit sold Filled]]*Table16[[#This Row],[Unit Price Filled]]</f>
        <v>15255</v>
      </c>
    </row>
    <row r="32" spans="1:15" x14ac:dyDescent="0.3">
      <c r="A32" s="1" t="s">
        <v>59</v>
      </c>
      <c r="B32" s="1"/>
      <c r="C32" s="3" t="str">
        <f t="shared" si="1"/>
        <v>West</v>
      </c>
      <c r="D32" s="1" t="s">
        <v>18</v>
      </c>
      <c r="E32" s="1" t="s">
        <v>13</v>
      </c>
      <c r="F32" s="3" t="str">
        <f t="shared" si="0"/>
        <v>Beverages</v>
      </c>
      <c r="G32" s="1" t="s">
        <v>14</v>
      </c>
      <c r="H32" s="1" t="s">
        <v>20</v>
      </c>
      <c r="I32" s="2">
        <v>44957</v>
      </c>
      <c r="J32" s="3">
        <v>123</v>
      </c>
      <c r="K32" s="10" cm="1">
        <f t="array" ref="K32">IF(ISBLANK(Table16[[#This Row],[Units Sold]]),AVERAGE(_xlfn._xlws.FILTER(Table16[Units Sold],NOT(ISBLANK(Table16[Units Sold])))),Table16[[#This Row],[Units Sold]])</f>
        <v>123</v>
      </c>
      <c r="L32" s="3">
        <v>273.52999999999997</v>
      </c>
      <c r="M32" s="11" cm="1">
        <f t="array" ref="M32">IF(ISBLANK(Table16[[#This Row],[Unit Price]]),AVERAGE(_xlfn._xlws.FILTER(Table16[Unit Price],NOT(ISBLANK(Table16[Unit Price])))),Table16[[#This Row],[Unit Price]])</f>
        <v>273.52999999999997</v>
      </c>
      <c r="N32" s="3">
        <v>230.92</v>
      </c>
      <c r="O32" s="11">
        <f>Table16[[#This Row],[Unit sold Filled]]*Table16[[#This Row],[Unit Price Filled]]</f>
        <v>33644.189999999995</v>
      </c>
    </row>
    <row r="33" spans="1:15" x14ac:dyDescent="0.3">
      <c r="A33" s="1" t="s">
        <v>60</v>
      </c>
      <c r="B33" s="1" t="s">
        <v>22</v>
      </c>
      <c r="C33" s="3" t="str">
        <f t="shared" si="1"/>
        <v>North</v>
      </c>
      <c r="D33" s="1" t="s">
        <v>12</v>
      </c>
      <c r="E33" s="1" t="s">
        <v>13</v>
      </c>
      <c r="F33" s="3" t="str">
        <f t="shared" si="0"/>
        <v>Beverages</v>
      </c>
      <c r="G33" s="1" t="s">
        <v>14</v>
      </c>
      <c r="H33" s="1" t="s">
        <v>15</v>
      </c>
      <c r="I33" s="2">
        <v>44958</v>
      </c>
      <c r="J33" s="3">
        <v>49</v>
      </c>
      <c r="K33" s="10" cm="1">
        <f t="array" ref="K33">IF(ISBLANK(Table16[[#This Row],[Units Sold]]),AVERAGE(_xlfn._xlws.FILTER(Table16[Units Sold],NOT(ISBLANK(Table16[Units Sold])))),Table16[[#This Row],[Units Sold]])</f>
        <v>49</v>
      </c>
      <c r="L33" s="3">
        <v>249.17</v>
      </c>
      <c r="M33" s="11" cm="1">
        <f t="array" ref="M33">IF(ISBLANK(Table16[[#This Row],[Unit Price]]),AVERAGE(_xlfn._xlws.FILTER(Table16[Unit Price],NOT(ISBLANK(Table16[Unit Price])))),Table16[[#This Row],[Unit Price]])</f>
        <v>249.17</v>
      </c>
      <c r="N33" s="3">
        <v>192.78</v>
      </c>
      <c r="O33" s="11">
        <f>Table16[[#This Row],[Unit sold Filled]]*Table16[[#This Row],[Unit Price Filled]]</f>
        <v>12209.33</v>
      </c>
    </row>
    <row r="34" spans="1:15" x14ac:dyDescent="0.3">
      <c r="A34" s="1" t="s">
        <v>61</v>
      </c>
      <c r="B34" s="1" t="s">
        <v>17</v>
      </c>
      <c r="C34" s="3" t="str">
        <f t="shared" si="1"/>
        <v>West</v>
      </c>
      <c r="D34" s="1" t="s">
        <v>31</v>
      </c>
      <c r="E34" s="1" t="s">
        <v>13</v>
      </c>
      <c r="F34" s="3" t="str">
        <f t="shared" si="0"/>
        <v>Beverages</v>
      </c>
      <c r="G34" s="1" t="s">
        <v>14</v>
      </c>
      <c r="H34" s="1" t="s">
        <v>28</v>
      </c>
      <c r="I34" s="2">
        <v>44959</v>
      </c>
      <c r="J34" s="3">
        <v>310</v>
      </c>
      <c r="K34" s="10" cm="1">
        <f t="array" ref="K34">IF(ISBLANK(Table16[[#This Row],[Units Sold]]),AVERAGE(_xlfn._xlws.FILTER(Table16[Units Sold],NOT(ISBLANK(Table16[Units Sold])))),Table16[[#This Row],[Units Sold]])</f>
        <v>310</v>
      </c>
      <c r="L34" s="3">
        <v>45.36</v>
      </c>
      <c r="M34" s="11" cm="1">
        <f t="array" ref="M34">IF(ISBLANK(Table16[[#This Row],[Unit Price]]),AVERAGE(_xlfn._xlws.FILTER(Table16[Unit Price],NOT(ISBLANK(Table16[Unit Price])))),Table16[[#This Row],[Unit Price]])</f>
        <v>45.36</v>
      </c>
      <c r="N34" s="3">
        <v>126.86</v>
      </c>
      <c r="O34" s="11">
        <f>Table16[[#This Row],[Unit sold Filled]]*Table16[[#This Row],[Unit Price Filled]]</f>
        <v>14061.6</v>
      </c>
    </row>
    <row r="35" spans="1:15" x14ac:dyDescent="0.3">
      <c r="A35" s="1" t="s">
        <v>62</v>
      </c>
      <c r="B35" s="1" t="s">
        <v>48</v>
      </c>
      <c r="C35" s="3" t="str">
        <f t="shared" si="1"/>
        <v>South</v>
      </c>
      <c r="D35" s="1" t="s">
        <v>18</v>
      </c>
      <c r="E35" s="1" t="s">
        <v>23</v>
      </c>
      <c r="F35" s="3" t="str">
        <f t="shared" si="0"/>
        <v>Clothing</v>
      </c>
      <c r="G35" s="1" t="s">
        <v>14</v>
      </c>
      <c r="H35" s="1" t="s">
        <v>20</v>
      </c>
      <c r="I35" s="2">
        <v>44960</v>
      </c>
      <c r="J35" s="3">
        <v>233</v>
      </c>
      <c r="K35" s="10" cm="1">
        <f t="array" ref="K35">IF(ISBLANK(Table16[[#This Row],[Units Sold]]),AVERAGE(_xlfn._xlws.FILTER(Table16[Units Sold],NOT(ISBLANK(Table16[Units Sold])))),Table16[[#This Row],[Units Sold]])</f>
        <v>233</v>
      </c>
      <c r="L35" s="3">
        <v>204.61</v>
      </c>
      <c r="M35" s="11" cm="1">
        <f t="array" ref="M35">IF(ISBLANK(Table16[[#This Row],[Unit Price]]),AVERAGE(_xlfn._xlws.FILTER(Table16[Unit Price],NOT(ISBLANK(Table16[Unit Price])))),Table16[[#This Row],[Unit Price]])</f>
        <v>204.61</v>
      </c>
      <c r="N35" s="3">
        <v>243.34</v>
      </c>
      <c r="O35" s="11">
        <f>Table16[[#This Row],[Unit sold Filled]]*Table16[[#This Row],[Unit Price Filled]]</f>
        <v>47674.130000000005</v>
      </c>
    </row>
    <row r="36" spans="1:15" x14ac:dyDescent="0.3">
      <c r="A36" s="1" t="s">
        <v>63</v>
      </c>
      <c r="B36" s="1" t="s">
        <v>48</v>
      </c>
      <c r="C36" s="3" t="str">
        <f t="shared" si="1"/>
        <v>South</v>
      </c>
      <c r="D36" s="1" t="s">
        <v>12</v>
      </c>
      <c r="E36" s="1" t="s">
        <v>19</v>
      </c>
      <c r="F36" s="3" t="str">
        <f t="shared" si="0"/>
        <v>Food</v>
      </c>
      <c r="G36" s="1" t="s">
        <v>14</v>
      </c>
      <c r="H36" s="1" t="s">
        <v>15</v>
      </c>
      <c r="I36" s="2">
        <v>44961</v>
      </c>
      <c r="J36" s="3">
        <v>327</v>
      </c>
      <c r="K36" s="10" cm="1">
        <f t="array" ref="K36">IF(ISBLANK(Table16[[#This Row],[Units Sold]]),AVERAGE(_xlfn._xlws.FILTER(Table16[Units Sold],NOT(ISBLANK(Table16[Units Sold])))),Table16[[#This Row],[Units Sold]])</f>
        <v>327</v>
      </c>
      <c r="L36" s="3">
        <v>114.18</v>
      </c>
      <c r="M36" s="11" cm="1">
        <f t="array" ref="M36">IF(ISBLANK(Table16[[#This Row],[Unit Price]]),AVERAGE(_xlfn._xlws.FILTER(Table16[Unit Price],NOT(ISBLANK(Table16[Unit Price])))),Table16[[#This Row],[Unit Price]])</f>
        <v>114.18</v>
      </c>
      <c r="N36" s="3">
        <v>57.4</v>
      </c>
      <c r="O36" s="11">
        <f>Table16[[#This Row],[Unit sold Filled]]*Table16[[#This Row],[Unit Price Filled]]</f>
        <v>37336.86</v>
      </c>
    </row>
    <row r="37" spans="1:15" x14ac:dyDescent="0.3">
      <c r="A37" s="1" t="s">
        <v>64</v>
      </c>
      <c r="B37" s="1" t="s">
        <v>22</v>
      </c>
      <c r="C37" s="3" t="str">
        <f t="shared" si="1"/>
        <v>North</v>
      </c>
      <c r="D37" s="1" t="s">
        <v>12</v>
      </c>
      <c r="E37" s="1" t="s">
        <v>13</v>
      </c>
      <c r="F37" s="3" t="str">
        <f t="shared" si="0"/>
        <v>Beverages</v>
      </c>
      <c r="G37" s="1" t="s">
        <v>14</v>
      </c>
      <c r="H37" s="1" t="s">
        <v>28</v>
      </c>
      <c r="I37" s="2">
        <v>44962</v>
      </c>
      <c r="J37" s="3">
        <v>358</v>
      </c>
      <c r="K37" s="10" cm="1">
        <f t="array" ref="K37">IF(ISBLANK(Table16[[#This Row],[Units Sold]]),AVERAGE(_xlfn._xlws.FILTER(Table16[Units Sold],NOT(ISBLANK(Table16[Units Sold])))),Table16[[#This Row],[Units Sold]])</f>
        <v>358</v>
      </c>
      <c r="L37" s="3">
        <v>212.11</v>
      </c>
      <c r="M37" s="11" cm="1">
        <f t="array" ref="M37">IF(ISBLANK(Table16[[#This Row],[Unit Price]]),AVERAGE(_xlfn._xlws.FILTER(Table16[Unit Price],NOT(ISBLANK(Table16[Unit Price])))),Table16[[#This Row],[Unit Price]])</f>
        <v>212.11</v>
      </c>
      <c r="N37" s="3">
        <v>359.51</v>
      </c>
      <c r="O37" s="11">
        <f>Table16[[#This Row],[Unit sold Filled]]*Table16[[#This Row],[Unit Price Filled]]</f>
        <v>75935.38</v>
      </c>
    </row>
    <row r="38" spans="1:15" x14ac:dyDescent="0.3">
      <c r="A38" s="1" t="s">
        <v>65</v>
      </c>
      <c r="B38" s="1" t="s">
        <v>17</v>
      </c>
      <c r="C38" s="3" t="str">
        <f t="shared" si="1"/>
        <v>West</v>
      </c>
      <c r="D38" s="1" t="s">
        <v>31</v>
      </c>
      <c r="E38" s="1" t="s">
        <v>19</v>
      </c>
      <c r="F38" s="3" t="str">
        <f t="shared" si="0"/>
        <v>Food</v>
      </c>
      <c r="G38" s="1" t="s">
        <v>14</v>
      </c>
      <c r="H38" s="1" t="s">
        <v>15</v>
      </c>
      <c r="I38" s="2">
        <v>44963</v>
      </c>
      <c r="J38" s="3">
        <v>124</v>
      </c>
      <c r="K38" s="10" cm="1">
        <f t="array" ref="K38">IF(ISBLANK(Table16[[#This Row],[Units Sold]]),AVERAGE(_xlfn._xlws.FILTER(Table16[Units Sold],NOT(ISBLANK(Table16[Units Sold])))),Table16[[#This Row],[Units Sold]])</f>
        <v>124</v>
      </c>
      <c r="L38" s="1"/>
      <c r="M38" s="11" cm="1">
        <f t="array" ref="M38">IF(ISBLANK(Table16[[#This Row],[Unit Price]]),AVERAGE(_xlfn._xlws.FILTER(Table16[Unit Price],NOT(ISBLANK(Table16[Unit Price])))),Table16[[#This Row],[Unit Price]])</f>
        <v>249.64520588235297</v>
      </c>
      <c r="N38" s="3">
        <v>332.07</v>
      </c>
      <c r="O38" s="11">
        <f>Table16[[#This Row],[Unit sold Filled]]*Table16[[#This Row],[Unit Price Filled]]</f>
        <v>30956.005529411766</v>
      </c>
    </row>
    <row r="39" spans="1:15" x14ac:dyDescent="0.3">
      <c r="A39" s="1" t="s">
        <v>66</v>
      </c>
      <c r="B39" s="1" t="s">
        <v>22</v>
      </c>
      <c r="C39" s="3" t="str">
        <f t="shared" si="1"/>
        <v>North</v>
      </c>
      <c r="D39" s="1" t="s">
        <v>18</v>
      </c>
      <c r="E39" s="1" t="s">
        <v>23</v>
      </c>
      <c r="F39" s="3" t="str">
        <f t="shared" si="0"/>
        <v>Clothing</v>
      </c>
      <c r="G39" s="1" t="s">
        <v>14</v>
      </c>
      <c r="H39" s="1" t="s">
        <v>28</v>
      </c>
      <c r="I39" s="2">
        <v>44964</v>
      </c>
      <c r="J39" s="3">
        <v>195</v>
      </c>
      <c r="K39" s="10" cm="1">
        <f t="array" ref="K39">IF(ISBLANK(Table16[[#This Row],[Units Sold]]),AVERAGE(_xlfn._xlws.FILTER(Table16[Units Sold],NOT(ISBLANK(Table16[Units Sold])))),Table16[[#This Row],[Units Sold]])</f>
        <v>195</v>
      </c>
      <c r="L39" s="3">
        <v>421.02</v>
      </c>
      <c r="M39" s="11" cm="1">
        <f t="array" ref="M39">IF(ISBLANK(Table16[[#This Row],[Unit Price]]),AVERAGE(_xlfn._xlws.FILTER(Table16[Unit Price],NOT(ISBLANK(Table16[Unit Price])))),Table16[[#This Row],[Unit Price]])</f>
        <v>421.02</v>
      </c>
      <c r="N39" s="3">
        <v>128.38</v>
      </c>
      <c r="O39" s="11">
        <f>Table16[[#This Row],[Unit sold Filled]]*Table16[[#This Row],[Unit Price Filled]]</f>
        <v>82098.899999999994</v>
      </c>
    </row>
    <row r="40" spans="1:15" x14ac:dyDescent="0.3">
      <c r="A40" s="1" t="s">
        <v>67</v>
      </c>
      <c r="B40" s="1" t="s">
        <v>22</v>
      </c>
      <c r="C40" s="3" t="str">
        <f t="shared" si="1"/>
        <v>North</v>
      </c>
      <c r="D40" s="1" t="s">
        <v>31</v>
      </c>
      <c r="E40" s="1" t="s">
        <v>23</v>
      </c>
      <c r="F40" s="3" t="str">
        <f t="shared" si="0"/>
        <v>Clothing</v>
      </c>
      <c r="G40" s="1" t="s">
        <v>14</v>
      </c>
      <c r="H40" s="1" t="s">
        <v>15</v>
      </c>
      <c r="I40" s="2">
        <v>44965</v>
      </c>
      <c r="J40" s="1"/>
      <c r="K40" s="10" cm="1">
        <f t="array" ref="K40">IF(ISBLANK(Table16[[#This Row],[Units Sold]]),AVERAGE(_xlfn._xlws.FILTER(Table16[Units Sold],NOT(ISBLANK(Table16[Units Sold])))),Table16[[#This Row],[Units Sold]])</f>
        <v>255.90294117647059</v>
      </c>
      <c r="L40" s="3">
        <v>91.23</v>
      </c>
      <c r="M40" s="11" cm="1">
        <f t="array" ref="M40">IF(ISBLANK(Table16[[#This Row],[Unit Price]]),AVERAGE(_xlfn._xlws.FILTER(Table16[Unit Price],NOT(ISBLANK(Table16[Unit Price])))),Table16[[#This Row],[Unit Price]])</f>
        <v>91.23</v>
      </c>
      <c r="N40" s="3">
        <v>381.21</v>
      </c>
      <c r="O40" s="11">
        <f>Table16[[#This Row],[Unit sold Filled]]*Table16[[#This Row],[Unit Price Filled]]</f>
        <v>23346.025323529411</v>
      </c>
    </row>
    <row r="41" spans="1:15" x14ac:dyDescent="0.3">
      <c r="A41" s="1" t="s">
        <v>68</v>
      </c>
      <c r="B41" s="1" t="s">
        <v>11</v>
      </c>
      <c r="C41" s="3" t="str">
        <f t="shared" si="1"/>
        <v>East</v>
      </c>
      <c r="D41" s="1" t="s">
        <v>18</v>
      </c>
      <c r="E41" s="1" t="s">
        <v>19</v>
      </c>
      <c r="F41" s="3" t="str">
        <f t="shared" si="0"/>
        <v>Food</v>
      </c>
      <c r="G41" s="1" t="s">
        <v>24</v>
      </c>
      <c r="H41" s="1" t="s">
        <v>15</v>
      </c>
      <c r="I41" s="2">
        <v>44966</v>
      </c>
      <c r="J41" s="3">
        <v>65</v>
      </c>
      <c r="K41" s="10" cm="1">
        <f t="array" ref="K41">IF(ISBLANK(Table16[[#This Row],[Units Sold]]),AVERAGE(_xlfn._xlws.FILTER(Table16[Units Sold],NOT(ISBLANK(Table16[Units Sold])))),Table16[[#This Row],[Units Sold]])</f>
        <v>65</v>
      </c>
      <c r="L41" s="3">
        <v>480.59</v>
      </c>
      <c r="M41" s="11" cm="1">
        <f t="array" ref="M41">IF(ISBLANK(Table16[[#This Row],[Unit Price]]),AVERAGE(_xlfn._xlws.FILTER(Table16[Unit Price],NOT(ISBLANK(Table16[Unit Price])))),Table16[[#This Row],[Unit Price]])</f>
        <v>480.59</v>
      </c>
      <c r="N41" s="3">
        <v>330.43</v>
      </c>
      <c r="O41" s="11">
        <f>Table16[[#This Row],[Unit sold Filled]]*Table16[[#This Row],[Unit Price Filled]]</f>
        <v>31238.35</v>
      </c>
    </row>
    <row r="42" spans="1:15" x14ac:dyDescent="0.3">
      <c r="A42" s="1" t="s">
        <v>69</v>
      </c>
      <c r="B42" s="1" t="s">
        <v>11</v>
      </c>
      <c r="C42" s="3" t="str">
        <f t="shared" si="1"/>
        <v>East</v>
      </c>
      <c r="D42" s="1" t="s">
        <v>50</v>
      </c>
      <c r="E42" s="1" t="s">
        <v>42</v>
      </c>
      <c r="F42" s="3" t="str">
        <f t="shared" si="0"/>
        <v>Electronics</v>
      </c>
      <c r="G42" s="1" t="s">
        <v>24</v>
      </c>
      <c r="H42" s="1" t="s">
        <v>20</v>
      </c>
      <c r="I42" s="2">
        <v>44967</v>
      </c>
      <c r="J42" s="3">
        <v>49</v>
      </c>
      <c r="K42" s="10" cm="1">
        <f t="array" ref="K42">IF(ISBLANK(Table16[[#This Row],[Units Sold]]),AVERAGE(_xlfn._xlws.FILTER(Table16[Units Sold],NOT(ISBLANK(Table16[Units Sold])))),Table16[[#This Row],[Units Sold]])</f>
        <v>49</v>
      </c>
      <c r="L42" s="3">
        <v>210.87</v>
      </c>
      <c r="M42" s="11" cm="1">
        <f t="array" ref="M42">IF(ISBLANK(Table16[[#This Row],[Unit Price]]),AVERAGE(_xlfn._xlws.FILTER(Table16[Unit Price],NOT(ISBLANK(Table16[Unit Price])))),Table16[[#This Row],[Unit Price]])</f>
        <v>210.87</v>
      </c>
      <c r="N42" s="3">
        <v>267.19</v>
      </c>
      <c r="O42" s="11">
        <f>Table16[[#This Row],[Unit sold Filled]]*Table16[[#This Row],[Unit Price Filled]]</f>
        <v>10332.630000000001</v>
      </c>
    </row>
    <row r="43" spans="1:15" x14ac:dyDescent="0.3">
      <c r="A43" s="1" t="s">
        <v>70</v>
      </c>
      <c r="B43" s="1" t="s">
        <v>11</v>
      </c>
      <c r="C43" s="3" t="str">
        <f t="shared" si="1"/>
        <v>East</v>
      </c>
      <c r="D43" s="1" t="s">
        <v>26</v>
      </c>
      <c r="E43" s="1" t="s">
        <v>27</v>
      </c>
      <c r="F43" s="3" t="str">
        <f t="shared" si="0"/>
        <v>Furniture</v>
      </c>
      <c r="G43" s="1" t="s">
        <v>14</v>
      </c>
      <c r="H43" s="1" t="s">
        <v>15</v>
      </c>
      <c r="I43" s="2">
        <v>44968</v>
      </c>
      <c r="J43" s="3">
        <v>363</v>
      </c>
      <c r="K43" s="10" cm="1">
        <f t="array" ref="K43">IF(ISBLANK(Table16[[#This Row],[Units Sold]]),AVERAGE(_xlfn._xlws.FILTER(Table16[Units Sold],NOT(ISBLANK(Table16[Units Sold])))),Table16[[#This Row],[Units Sold]])</f>
        <v>363</v>
      </c>
      <c r="L43" s="3">
        <v>423.89</v>
      </c>
      <c r="M43" s="11" cm="1">
        <f t="array" ref="M43">IF(ISBLANK(Table16[[#This Row],[Unit Price]]),AVERAGE(_xlfn._xlws.FILTER(Table16[Unit Price],NOT(ISBLANK(Table16[Unit Price])))),Table16[[#This Row],[Unit Price]])</f>
        <v>423.89</v>
      </c>
      <c r="N43" s="3">
        <v>50.46</v>
      </c>
      <c r="O43" s="11">
        <f>Table16[[#This Row],[Unit sold Filled]]*Table16[[#This Row],[Unit Price Filled]]</f>
        <v>153872.07</v>
      </c>
    </row>
    <row r="44" spans="1:15" x14ac:dyDescent="0.3">
      <c r="A44" s="1" t="s">
        <v>71</v>
      </c>
      <c r="B44" s="1" t="s">
        <v>48</v>
      </c>
      <c r="C44" s="3" t="str">
        <f t="shared" si="1"/>
        <v>South</v>
      </c>
      <c r="D44" s="1" t="s">
        <v>26</v>
      </c>
      <c r="E44" s="1" t="s">
        <v>42</v>
      </c>
      <c r="F44" s="3" t="str">
        <f t="shared" si="0"/>
        <v>Electronics</v>
      </c>
      <c r="G44" s="1" t="s">
        <v>24</v>
      </c>
      <c r="H44" s="1" t="s">
        <v>28</v>
      </c>
      <c r="I44" s="2">
        <v>44969</v>
      </c>
      <c r="J44" s="3">
        <v>49</v>
      </c>
      <c r="K44" s="10" cm="1">
        <f t="array" ref="K44">IF(ISBLANK(Table16[[#This Row],[Units Sold]]),AVERAGE(_xlfn._xlws.FILTER(Table16[Units Sold],NOT(ISBLANK(Table16[Units Sold])))),Table16[[#This Row],[Units Sold]])</f>
        <v>49</v>
      </c>
      <c r="L44" s="3">
        <v>316.24</v>
      </c>
      <c r="M44" s="11" cm="1">
        <f t="array" ref="M44">IF(ISBLANK(Table16[[#This Row],[Unit Price]]),AVERAGE(_xlfn._xlws.FILTER(Table16[Unit Price],NOT(ISBLANK(Table16[Unit Price])))),Table16[[#This Row],[Unit Price]])</f>
        <v>316.24</v>
      </c>
      <c r="N44" s="3">
        <v>192.34</v>
      </c>
      <c r="O44" s="11">
        <f>Table16[[#This Row],[Unit sold Filled]]*Table16[[#This Row],[Unit Price Filled]]</f>
        <v>15495.76</v>
      </c>
    </row>
    <row r="45" spans="1:15" x14ac:dyDescent="0.3">
      <c r="A45" s="1" t="s">
        <v>72</v>
      </c>
      <c r="B45" s="1" t="s">
        <v>17</v>
      </c>
      <c r="C45" s="3" t="str">
        <f t="shared" si="1"/>
        <v>West</v>
      </c>
      <c r="D45" s="1" t="s">
        <v>26</v>
      </c>
      <c r="E45" s="1" t="s">
        <v>42</v>
      </c>
      <c r="F45" s="3" t="str">
        <f t="shared" si="0"/>
        <v>Electronics</v>
      </c>
      <c r="G45" s="1" t="s">
        <v>24</v>
      </c>
      <c r="H45" s="1" t="s">
        <v>28</v>
      </c>
      <c r="I45" s="2">
        <v>44970</v>
      </c>
      <c r="J45" s="3">
        <v>356</v>
      </c>
      <c r="K45" s="10" cm="1">
        <f t="array" ref="K45">IF(ISBLANK(Table16[[#This Row],[Units Sold]]),AVERAGE(_xlfn._xlws.FILTER(Table16[Units Sold],NOT(ISBLANK(Table16[Units Sold])))),Table16[[#This Row],[Units Sold]])</f>
        <v>356</v>
      </c>
      <c r="L45" s="3">
        <v>369</v>
      </c>
      <c r="M45" s="11" cm="1">
        <f t="array" ref="M45">IF(ISBLANK(Table16[[#This Row],[Unit Price]]),AVERAGE(_xlfn._xlws.FILTER(Table16[Unit Price],NOT(ISBLANK(Table16[Unit Price])))),Table16[[#This Row],[Unit Price]])</f>
        <v>369</v>
      </c>
      <c r="N45" s="3">
        <v>203.43</v>
      </c>
      <c r="O45" s="11">
        <f>Table16[[#This Row],[Unit sold Filled]]*Table16[[#This Row],[Unit Price Filled]]</f>
        <v>131364</v>
      </c>
    </row>
    <row r="46" spans="1:15" x14ac:dyDescent="0.3">
      <c r="A46" s="1" t="s">
        <v>73</v>
      </c>
      <c r="B46" s="1" t="s">
        <v>17</v>
      </c>
      <c r="C46" s="3" t="str">
        <f t="shared" si="1"/>
        <v>West</v>
      </c>
      <c r="D46" s="1" t="s">
        <v>31</v>
      </c>
      <c r="E46" s="1" t="s">
        <v>42</v>
      </c>
      <c r="F46" s="3" t="str">
        <f t="shared" si="0"/>
        <v>Electronics</v>
      </c>
      <c r="G46" s="1" t="s">
        <v>14</v>
      </c>
      <c r="H46" s="1" t="s">
        <v>20</v>
      </c>
      <c r="I46" s="2">
        <v>44971</v>
      </c>
      <c r="J46" s="3">
        <v>470</v>
      </c>
      <c r="K46" s="10" cm="1">
        <f t="array" ref="K46">IF(ISBLANK(Table16[[#This Row],[Units Sold]]),AVERAGE(_xlfn._xlws.FILTER(Table16[Units Sold],NOT(ISBLANK(Table16[Units Sold])))),Table16[[#This Row],[Units Sold]])</f>
        <v>470</v>
      </c>
      <c r="L46" s="1"/>
      <c r="M46" s="11" cm="1">
        <f t="array" ref="M46">IF(ISBLANK(Table16[[#This Row],[Unit Price]]),AVERAGE(_xlfn._xlws.FILTER(Table16[Unit Price],NOT(ISBLANK(Table16[Unit Price])))),Table16[[#This Row],[Unit Price]])</f>
        <v>249.64520588235297</v>
      </c>
      <c r="N46" s="3">
        <v>94.56</v>
      </c>
      <c r="O46" s="11">
        <f>Table16[[#This Row],[Unit sold Filled]]*Table16[[#This Row],[Unit Price Filled]]</f>
        <v>117333.24676470589</v>
      </c>
    </row>
    <row r="47" spans="1:15" x14ac:dyDescent="0.3">
      <c r="A47" s="1" t="s">
        <v>74</v>
      </c>
      <c r="B47" s="1" t="s">
        <v>17</v>
      </c>
      <c r="C47" s="3" t="str">
        <f t="shared" si="1"/>
        <v>West</v>
      </c>
      <c r="D47" s="1" t="s">
        <v>50</v>
      </c>
      <c r="E47" s="1" t="s">
        <v>13</v>
      </c>
      <c r="F47" s="3" t="str">
        <f t="shared" si="0"/>
        <v>Beverages</v>
      </c>
      <c r="G47" s="1" t="s">
        <v>14</v>
      </c>
      <c r="H47" s="1" t="s">
        <v>28</v>
      </c>
      <c r="I47" s="2">
        <v>44972</v>
      </c>
      <c r="J47" s="3">
        <v>246</v>
      </c>
      <c r="K47" s="10" cm="1">
        <f t="array" ref="K47">IF(ISBLANK(Table16[[#This Row],[Units Sold]]),AVERAGE(_xlfn._xlws.FILTER(Table16[Units Sold],NOT(ISBLANK(Table16[Units Sold])))),Table16[[#This Row],[Units Sold]])</f>
        <v>246</v>
      </c>
      <c r="L47" s="3">
        <v>254.9</v>
      </c>
      <c r="M47" s="11" cm="1">
        <f t="array" ref="M47">IF(ISBLANK(Table16[[#This Row],[Unit Price]]),AVERAGE(_xlfn._xlws.FILTER(Table16[Unit Price],NOT(ISBLANK(Table16[Unit Price])))),Table16[[#This Row],[Unit Price]])</f>
        <v>254.9</v>
      </c>
      <c r="N47" s="3">
        <v>33.83</v>
      </c>
      <c r="O47" s="11">
        <f>Table16[[#This Row],[Unit sold Filled]]*Table16[[#This Row],[Unit Price Filled]]</f>
        <v>62705.4</v>
      </c>
    </row>
    <row r="48" spans="1:15" x14ac:dyDescent="0.3">
      <c r="A48" s="1" t="s">
        <v>75</v>
      </c>
      <c r="B48" s="1" t="s">
        <v>17</v>
      </c>
      <c r="C48" s="3" t="str">
        <f t="shared" si="1"/>
        <v>West</v>
      </c>
      <c r="D48" s="1" t="s">
        <v>18</v>
      </c>
      <c r="E48" s="1" t="s">
        <v>23</v>
      </c>
      <c r="F48" s="3" t="str">
        <f t="shared" si="0"/>
        <v>Clothing</v>
      </c>
      <c r="G48" s="1" t="s">
        <v>14</v>
      </c>
      <c r="H48" s="1" t="s">
        <v>28</v>
      </c>
      <c r="I48" s="2">
        <v>44973</v>
      </c>
      <c r="J48" s="3">
        <v>298</v>
      </c>
      <c r="K48" s="10" cm="1">
        <f t="array" ref="K48">IF(ISBLANK(Table16[[#This Row],[Units Sold]]),AVERAGE(_xlfn._xlws.FILTER(Table16[Units Sold],NOT(ISBLANK(Table16[Units Sold])))),Table16[[#This Row],[Units Sold]])</f>
        <v>298</v>
      </c>
      <c r="L48" s="3">
        <v>273.93</v>
      </c>
      <c r="M48" s="11" cm="1">
        <f t="array" ref="M48">IF(ISBLANK(Table16[[#This Row],[Unit Price]]),AVERAGE(_xlfn._xlws.FILTER(Table16[Unit Price],NOT(ISBLANK(Table16[Unit Price])))),Table16[[#This Row],[Unit Price]])</f>
        <v>273.93</v>
      </c>
      <c r="N48" s="3">
        <v>311.14</v>
      </c>
      <c r="O48" s="11">
        <f>Table16[[#This Row],[Unit sold Filled]]*Table16[[#This Row],[Unit Price Filled]]</f>
        <v>81631.14</v>
      </c>
    </row>
    <row r="49" spans="1:15" x14ac:dyDescent="0.3">
      <c r="A49" s="1" t="s">
        <v>76</v>
      </c>
      <c r="B49" s="1" t="s">
        <v>11</v>
      </c>
      <c r="C49" s="3" t="str">
        <f t="shared" si="1"/>
        <v>East</v>
      </c>
      <c r="D49" s="1" t="s">
        <v>12</v>
      </c>
      <c r="E49" s="1" t="s">
        <v>42</v>
      </c>
      <c r="F49" s="3" t="str">
        <f t="shared" si="0"/>
        <v>Electronics</v>
      </c>
      <c r="G49" s="1" t="s">
        <v>24</v>
      </c>
      <c r="H49" s="1" t="s">
        <v>28</v>
      </c>
      <c r="I49" s="2">
        <v>44974</v>
      </c>
      <c r="J49" s="3">
        <v>271</v>
      </c>
      <c r="K49" s="10" cm="1">
        <f t="array" ref="K49">IF(ISBLANK(Table16[[#This Row],[Units Sold]]),AVERAGE(_xlfn._xlws.FILTER(Table16[Units Sold],NOT(ISBLANK(Table16[Units Sold])))),Table16[[#This Row],[Units Sold]])</f>
        <v>271</v>
      </c>
      <c r="L49" s="3">
        <v>259.43</v>
      </c>
      <c r="M49" s="11" cm="1">
        <f t="array" ref="M49">IF(ISBLANK(Table16[[#This Row],[Unit Price]]),AVERAGE(_xlfn._xlws.FILTER(Table16[Unit Price],NOT(ISBLANK(Table16[Unit Price])))),Table16[[#This Row],[Unit Price]])</f>
        <v>259.43</v>
      </c>
      <c r="N49" s="3">
        <v>50.57</v>
      </c>
      <c r="O49" s="11">
        <f>Table16[[#This Row],[Unit sold Filled]]*Table16[[#This Row],[Unit Price Filled]]</f>
        <v>70305.53</v>
      </c>
    </row>
    <row r="50" spans="1:15" x14ac:dyDescent="0.3">
      <c r="A50" s="1" t="s">
        <v>77</v>
      </c>
      <c r="B50" s="1" t="s">
        <v>48</v>
      </c>
      <c r="C50" s="3" t="str">
        <f t="shared" si="1"/>
        <v>South</v>
      </c>
      <c r="D50" s="1" t="s">
        <v>18</v>
      </c>
      <c r="E50" s="1" t="s">
        <v>23</v>
      </c>
      <c r="F50" s="3" t="str">
        <f t="shared" si="0"/>
        <v>Clothing</v>
      </c>
      <c r="G50" s="1" t="s">
        <v>24</v>
      </c>
      <c r="H50" s="1" t="s">
        <v>15</v>
      </c>
      <c r="I50" s="2">
        <v>44975</v>
      </c>
      <c r="J50" s="3">
        <v>225</v>
      </c>
      <c r="K50" s="10" cm="1">
        <f t="array" ref="K50">IF(ISBLANK(Table16[[#This Row],[Units Sold]]),AVERAGE(_xlfn._xlws.FILTER(Table16[Units Sold],NOT(ISBLANK(Table16[Units Sold])))),Table16[[#This Row],[Units Sold]])</f>
        <v>225</v>
      </c>
      <c r="L50" s="3">
        <v>296.08999999999997</v>
      </c>
      <c r="M50" s="11" cm="1">
        <f t="array" ref="M50">IF(ISBLANK(Table16[[#This Row],[Unit Price]]),AVERAGE(_xlfn._xlws.FILTER(Table16[Unit Price],NOT(ISBLANK(Table16[Unit Price])))),Table16[[#This Row],[Unit Price]])</f>
        <v>296.08999999999997</v>
      </c>
      <c r="N50" s="3">
        <v>238.53</v>
      </c>
      <c r="O50" s="11">
        <f>Table16[[#This Row],[Unit sold Filled]]*Table16[[#This Row],[Unit Price Filled]]</f>
        <v>66620.25</v>
      </c>
    </row>
    <row r="51" spans="1:15" x14ac:dyDescent="0.3">
      <c r="A51" s="1" t="s">
        <v>78</v>
      </c>
      <c r="B51" s="1"/>
      <c r="C51" s="3" t="str">
        <f t="shared" si="1"/>
        <v>West</v>
      </c>
      <c r="D51" s="1" t="s">
        <v>12</v>
      </c>
      <c r="E51" s="1" t="s">
        <v>19</v>
      </c>
      <c r="F51" s="3" t="str">
        <f t="shared" si="0"/>
        <v>Food</v>
      </c>
      <c r="G51" s="1" t="s">
        <v>14</v>
      </c>
      <c r="H51" s="1" t="s">
        <v>15</v>
      </c>
      <c r="I51" s="2">
        <v>44976</v>
      </c>
      <c r="J51" s="3">
        <v>156</v>
      </c>
      <c r="K51" s="10" cm="1">
        <f t="array" ref="K51">IF(ISBLANK(Table16[[#This Row],[Units Sold]]),AVERAGE(_xlfn._xlws.FILTER(Table16[Units Sold],NOT(ISBLANK(Table16[Units Sold])))),Table16[[#This Row],[Units Sold]])</f>
        <v>156</v>
      </c>
      <c r="L51" s="3">
        <v>19.55</v>
      </c>
      <c r="M51" s="11" cm="1">
        <f t="array" ref="M51">IF(ISBLANK(Table16[[#This Row],[Unit Price]]),AVERAGE(_xlfn._xlws.FILTER(Table16[Unit Price],NOT(ISBLANK(Table16[Unit Price])))),Table16[[#This Row],[Unit Price]])</f>
        <v>19.55</v>
      </c>
      <c r="N51" s="3">
        <v>374.71</v>
      </c>
      <c r="O51" s="11">
        <f>Table16[[#This Row],[Unit sold Filled]]*Table16[[#This Row],[Unit Price Filled]]</f>
        <v>3049.8</v>
      </c>
    </row>
    <row r="52" spans="1:15" x14ac:dyDescent="0.3">
      <c r="A52" s="1" t="s">
        <v>79</v>
      </c>
      <c r="B52" s="1" t="s">
        <v>11</v>
      </c>
      <c r="C52" s="3" t="str">
        <f t="shared" si="1"/>
        <v>East</v>
      </c>
      <c r="D52" s="1" t="s">
        <v>18</v>
      </c>
      <c r="E52" s="1" t="s">
        <v>27</v>
      </c>
      <c r="F52" s="3" t="str">
        <f t="shared" si="0"/>
        <v>Furniture</v>
      </c>
      <c r="G52" s="1" t="s">
        <v>14</v>
      </c>
      <c r="H52" s="1" t="s">
        <v>28</v>
      </c>
      <c r="I52" s="2">
        <v>44977</v>
      </c>
      <c r="J52" s="3">
        <v>345</v>
      </c>
      <c r="K52" s="10" cm="1">
        <f t="array" ref="K52">IF(ISBLANK(Table16[[#This Row],[Units Sold]]),AVERAGE(_xlfn._xlws.FILTER(Table16[Units Sold],NOT(ISBLANK(Table16[Units Sold])))),Table16[[#This Row],[Units Sold]])</f>
        <v>345</v>
      </c>
      <c r="L52" s="3">
        <v>200.78</v>
      </c>
      <c r="M52" s="11" cm="1">
        <f t="array" ref="M52">IF(ISBLANK(Table16[[#This Row],[Unit Price]]),AVERAGE(_xlfn._xlws.FILTER(Table16[Unit Price],NOT(ISBLANK(Table16[Unit Price])))),Table16[[#This Row],[Unit Price]])</f>
        <v>200.78</v>
      </c>
      <c r="N52" s="3">
        <v>350.69</v>
      </c>
      <c r="O52" s="11">
        <f>Table16[[#This Row],[Unit sold Filled]]*Table16[[#This Row],[Unit Price Filled]]</f>
        <v>69269.100000000006</v>
      </c>
    </row>
    <row r="53" spans="1:15" x14ac:dyDescent="0.3">
      <c r="A53" s="1" t="s">
        <v>80</v>
      </c>
      <c r="B53" s="1" t="s">
        <v>48</v>
      </c>
      <c r="C53" s="3" t="str">
        <f t="shared" si="1"/>
        <v>South</v>
      </c>
      <c r="D53" s="1" t="s">
        <v>50</v>
      </c>
      <c r="E53" s="1" t="s">
        <v>19</v>
      </c>
      <c r="F53" s="3" t="str">
        <f t="shared" si="0"/>
        <v>Food</v>
      </c>
      <c r="G53" s="1" t="s">
        <v>14</v>
      </c>
      <c r="H53" s="1" t="s">
        <v>20</v>
      </c>
      <c r="I53" s="2">
        <v>44978</v>
      </c>
      <c r="J53" s="3">
        <v>177</v>
      </c>
      <c r="K53" s="10" cm="1">
        <f t="array" ref="K53">IF(ISBLANK(Table16[[#This Row],[Units Sold]]),AVERAGE(_xlfn._xlws.FILTER(Table16[Units Sold],NOT(ISBLANK(Table16[Units Sold])))),Table16[[#This Row],[Units Sold]])</f>
        <v>177</v>
      </c>
      <c r="L53" s="3">
        <v>305.06</v>
      </c>
      <c r="M53" s="11" cm="1">
        <f t="array" ref="M53">IF(ISBLANK(Table16[[#This Row],[Unit Price]]),AVERAGE(_xlfn._xlws.FILTER(Table16[Unit Price],NOT(ISBLANK(Table16[Unit Price])))),Table16[[#This Row],[Unit Price]])</f>
        <v>305.06</v>
      </c>
      <c r="N53" s="3">
        <v>112.55</v>
      </c>
      <c r="O53" s="11">
        <f>Table16[[#This Row],[Unit sold Filled]]*Table16[[#This Row],[Unit Price Filled]]</f>
        <v>53995.62</v>
      </c>
    </row>
    <row r="54" spans="1:15" x14ac:dyDescent="0.3">
      <c r="A54" s="1" t="s">
        <v>81</v>
      </c>
      <c r="B54" s="1" t="s">
        <v>11</v>
      </c>
      <c r="C54" s="3" t="str">
        <f t="shared" si="1"/>
        <v>East</v>
      </c>
      <c r="D54" s="1" t="s">
        <v>12</v>
      </c>
      <c r="E54" s="1" t="s">
        <v>19</v>
      </c>
      <c r="F54" s="3" t="str">
        <f t="shared" si="0"/>
        <v>Food</v>
      </c>
      <c r="G54" s="1" t="s">
        <v>24</v>
      </c>
      <c r="H54" s="1" t="s">
        <v>15</v>
      </c>
      <c r="I54" s="2">
        <v>44979</v>
      </c>
      <c r="J54" s="3">
        <v>101</v>
      </c>
      <c r="K54" s="10" cm="1">
        <f t="array" ref="K54">IF(ISBLANK(Table16[[#This Row],[Units Sold]]),AVERAGE(_xlfn._xlws.FILTER(Table16[Units Sold],NOT(ISBLANK(Table16[Units Sold])))),Table16[[#This Row],[Units Sold]])</f>
        <v>101</v>
      </c>
      <c r="L54" s="3">
        <v>300.87</v>
      </c>
      <c r="M54" s="11" cm="1">
        <f t="array" ref="M54">IF(ISBLANK(Table16[[#This Row],[Unit Price]]),AVERAGE(_xlfn._xlws.FILTER(Table16[Unit Price],NOT(ISBLANK(Table16[Unit Price])))),Table16[[#This Row],[Unit Price]])</f>
        <v>300.87</v>
      </c>
      <c r="N54" s="3">
        <v>340.88</v>
      </c>
      <c r="O54" s="11">
        <f>Table16[[#This Row],[Unit sold Filled]]*Table16[[#This Row],[Unit Price Filled]]</f>
        <v>30387.87</v>
      </c>
    </row>
    <row r="55" spans="1:15" x14ac:dyDescent="0.3">
      <c r="A55" s="1" t="s">
        <v>82</v>
      </c>
      <c r="B55" s="1" t="s">
        <v>17</v>
      </c>
      <c r="C55" s="3" t="str">
        <f t="shared" si="1"/>
        <v>West</v>
      </c>
      <c r="D55" s="1" t="s">
        <v>31</v>
      </c>
      <c r="E55" s="1" t="s">
        <v>13</v>
      </c>
      <c r="F55" s="3" t="str">
        <f t="shared" si="0"/>
        <v>Beverages</v>
      </c>
      <c r="G55" s="1" t="s">
        <v>24</v>
      </c>
      <c r="H55" s="1" t="s">
        <v>20</v>
      </c>
      <c r="I55" s="2">
        <v>44980</v>
      </c>
      <c r="J55" s="3">
        <v>362</v>
      </c>
      <c r="K55" s="10" cm="1">
        <f t="array" ref="K55">IF(ISBLANK(Table16[[#This Row],[Units Sold]]),AVERAGE(_xlfn._xlws.FILTER(Table16[Units Sold],NOT(ISBLANK(Table16[Units Sold])))),Table16[[#This Row],[Units Sold]])</f>
        <v>362</v>
      </c>
      <c r="L55" s="3">
        <v>397.51</v>
      </c>
      <c r="M55" s="11" cm="1">
        <f t="array" ref="M55">IF(ISBLANK(Table16[[#This Row],[Unit Price]]),AVERAGE(_xlfn._xlws.FILTER(Table16[Unit Price],NOT(ISBLANK(Table16[Unit Price])))),Table16[[#This Row],[Unit Price]])</f>
        <v>397.51</v>
      </c>
      <c r="N55" s="3">
        <v>2.13</v>
      </c>
      <c r="O55" s="11">
        <f>Table16[[#This Row],[Unit sold Filled]]*Table16[[#This Row],[Unit Price Filled]]</f>
        <v>143898.62</v>
      </c>
    </row>
    <row r="56" spans="1:15" x14ac:dyDescent="0.3">
      <c r="A56" s="1" t="s">
        <v>83</v>
      </c>
      <c r="B56" s="1" t="s">
        <v>11</v>
      </c>
      <c r="C56" s="3" t="str">
        <f t="shared" si="1"/>
        <v>East</v>
      </c>
      <c r="D56" s="1" t="s">
        <v>18</v>
      </c>
      <c r="E56" s="1" t="s">
        <v>27</v>
      </c>
      <c r="F56" s="3" t="str">
        <f t="shared" si="0"/>
        <v>Furniture</v>
      </c>
      <c r="G56" s="1" t="s">
        <v>24</v>
      </c>
      <c r="H56" s="1" t="s">
        <v>28</v>
      </c>
      <c r="I56" s="2">
        <v>44981</v>
      </c>
      <c r="J56" s="3">
        <v>68</v>
      </c>
      <c r="K56" s="10" cm="1">
        <f t="array" ref="K56">IF(ISBLANK(Table16[[#This Row],[Units Sold]]),AVERAGE(_xlfn._xlws.FILTER(Table16[Units Sold],NOT(ISBLANK(Table16[Units Sold])))),Table16[[#This Row],[Units Sold]])</f>
        <v>68</v>
      </c>
      <c r="L56" s="3">
        <v>329.23</v>
      </c>
      <c r="M56" s="11" cm="1">
        <f t="array" ref="M56">IF(ISBLANK(Table16[[#This Row],[Unit Price]]),AVERAGE(_xlfn._xlws.FILTER(Table16[Unit Price],NOT(ISBLANK(Table16[Unit Price])))),Table16[[#This Row],[Unit Price]])</f>
        <v>329.23</v>
      </c>
      <c r="N56" s="3">
        <v>9.0399999999999991</v>
      </c>
      <c r="O56" s="11">
        <f>Table16[[#This Row],[Unit sold Filled]]*Table16[[#This Row],[Unit Price Filled]]</f>
        <v>22387.64</v>
      </c>
    </row>
    <row r="57" spans="1:15" x14ac:dyDescent="0.3">
      <c r="A57" s="1" t="s">
        <v>84</v>
      </c>
      <c r="B57" s="1" t="s">
        <v>17</v>
      </c>
      <c r="C57" s="3" t="str">
        <f t="shared" si="1"/>
        <v>West</v>
      </c>
      <c r="D57" s="1" t="s">
        <v>18</v>
      </c>
      <c r="E57" s="1" t="s">
        <v>19</v>
      </c>
      <c r="F57" s="3" t="str">
        <f t="shared" si="0"/>
        <v>Food</v>
      </c>
      <c r="G57" s="1" t="s">
        <v>24</v>
      </c>
      <c r="H57" s="1" t="s">
        <v>28</v>
      </c>
      <c r="I57" s="2">
        <v>44982</v>
      </c>
      <c r="J57" s="3">
        <v>68</v>
      </c>
      <c r="K57" s="10" cm="1">
        <f t="array" ref="K57">IF(ISBLANK(Table16[[#This Row],[Units Sold]]),AVERAGE(_xlfn._xlws.FILTER(Table16[Units Sold],NOT(ISBLANK(Table16[Units Sold])))),Table16[[#This Row],[Units Sold]])</f>
        <v>68</v>
      </c>
      <c r="L57" s="3">
        <v>496.11</v>
      </c>
      <c r="M57" s="11" cm="1">
        <f t="array" ref="M57">IF(ISBLANK(Table16[[#This Row],[Unit Price]]),AVERAGE(_xlfn._xlws.FILTER(Table16[Unit Price],NOT(ISBLANK(Table16[Unit Price])))),Table16[[#This Row],[Unit Price]])</f>
        <v>496.11</v>
      </c>
      <c r="N57" s="3">
        <v>241.82</v>
      </c>
      <c r="O57" s="11">
        <f>Table16[[#This Row],[Unit sold Filled]]*Table16[[#This Row],[Unit Price Filled]]</f>
        <v>33735.480000000003</v>
      </c>
    </row>
    <row r="58" spans="1:15" x14ac:dyDescent="0.3">
      <c r="A58" s="1" t="s">
        <v>85</v>
      </c>
      <c r="B58" s="1" t="s">
        <v>17</v>
      </c>
      <c r="C58" s="3" t="str">
        <f t="shared" si="1"/>
        <v>West</v>
      </c>
      <c r="D58" s="1" t="s">
        <v>12</v>
      </c>
      <c r="E58" s="1" t="s">
        <v>19</v>
      </c>
      <c r="F58" s="3" t="str">
        <f t="shared" si="0"/>
        <v>Food</v>
      </c>
      <c r="G58" s="1" t="s">
        <v>14</v>
      </c>
      <c r="H58" s="1" t="s">
        <v>15</v>
      </c>
      <c r="I58" s="2">
        <v>44983</v>
      </c>
      <c r="J58" s="3">
        <v>313</v>
      </c>
      <c r="K58" s="10" cm="1">
        <f t="array" ref="K58">IF(ISBLANK(Table16[[#This Row],[Units Sold]]),AVERAGE(_xlfn._xlws.FILTER(Table16[Units Sold],NOT(ISBLANK(Table16[Units Sold])))),Table16[[#This Row],[Units Sold]])</f>
        <v>313</v>
      </c>
      <c r="L58" s="3">
        <v>145.51</v>
      </c>
      <c r="M58" s="11" cm="1">
        <f t="array" ref="M58">IF(ISBLANK(Table16[[#This Row],[Unit Price]]),AVERAGE(_xlfn._xlws.FILTER(Table16[Unit Price],NOT(ISBLANK(Table16[Unit Price])))),Table16[[#This Row],[Unit Price]])</f>
        <v>145.51</v>
      </c>
      <c r="N58" s="3">
        <v>147.19</v>
      </c>
      <c r="O58" s="11">
        <f>Table16[[#This Row],[Unit sold Filled]]*Table16[[#This Row],[Unit Price Filled]]</f>
        <v>45544.63</v>
      </c>
    </row>
    <row r="59" spans="1:15" x14ac:dyDescent="0.3">
      <c r="A59" s="1" t="s">
        <v>86</v>
      </c>
      <c r="B59" s="1" t="s">
        <v>22</v>
      </c>
      <c r="C59" s="3" t="str">
        <f t="shared" si="1"/>
        <v>North</v>
      </c>
      <c r="D59" s="1" t="s">
        <v>31</v>
      </c>
      <c r="E59" s="1" t="s">
        <v>27</v>
      </c>
      <c r="F59" s="3" t="str">
        <f t="shared" si="0"/>
        <v>Furniture</v>
      </c>
      <c r="G59" s="1" t="s">
        <v>14</v>
      </c>
      <c r="H59" s="1" t="s">
        <v>28</v>
      </c>
      <c r="I59" s="2">
        <v>44984</v>
      </c>
      <c r="J59" s="3">
        <v>178</v>
      </c>
      <c r="K59" s="10" cm="1">
        <f t="array" ref="K59">IF(ISBLANK(Table16[[#This Row],[Units Sold]]),AVERAGE(_xlfn._xlws.FILTER(Table16[Units Sold],NOT(ISBLANK(Table16[Units Sold])))),Table16[[#This Row],[Units Sold]])</f>
        <v>178</v>
      </c>
      <c r="L59" s="3">
        <v>182.78</v>
      </c>
      <c r="M59" s="11" cm="1">
        <f t="array" ref="M59">IF(ISBLANK(Table16[[#This Row],[Unit Price]]),AVERAGE(_xlfn._xlws.FILTER(Table16[Unit Price],NOT(ISBLANK(Table16[Unit Price])))),Table16[[#This Row],[Unit Price]])</f>
        <v>182.78</v>
      </c>
      <c r="N59" s="3">
        <v>155.81</v>
      </c>
      <c r="O59" s="11">
        <f>Table16[[#This Row],[Unit sold Filled]]*Table16[[#This Row],[Unit Price Filled]]</f>
        <v>32534.84</v>
      </c>
    </row>
    <row r="60" spans="1:15" x14ac:dyDescent="0.3">
      <c r="A60" s="1" t="s">
        <v>87</v>
      </c>
      <c r="B60" s="1" t="s">
        <v>11</v>
      </c>
      <c r="C60" s="3" t="str">
        <f t="shared" si="1"/>
        <v>East</v>
      </c>
      <c r="D60" s="1" t="s">
        <v>31</v>
      </c>
      <c r="E60" s="1" t="s">
        <v>27</v>
      </c>
      <c r="F60" s="3" t="str">
        <f t="shared" si="0"/>
        <v>Furniture</v>
      </c>
      <c r="G60" s="1" t="s">
        <v>14</v>
      </c>
      <c r="H60" s="1" t="s">
        <v>15</v>
      </c>
      <c r="I60" s="2">
        <v>44985</v>
      </c>
      <c r="J60" s="3">
        <v>278</v>
      </c>
      <c r="K60" s="10" cm="1">
        <f t="array" ref="K60">IF(ISBLANK(Table16[[#This Row],[Units Sold]]),AVERAGE(_xlfn._xlws.FILTER(Table16[Units Sold],NOT(ISBLANK(Table16[Units Sold])))),Table16[[#This Row],[Units Sold]])</f>
        <v>278</v>
      </c>
      <c r="L60" s="3">
        <v>195</v>
      </c>
      <c r="M60" s="11" cm="1">
        <f t="array" ref="M60">IF(ISBLANK(Table16[[#This Row],[Unit Price]]),AVERAGE(_xlfn._xlws.FILTER(Table16[Unit Price],NOT(ISBLANK(Table16[Unit Price])))),Table16[[#This Row],[Unit Price]])</f>
        <v>195</v>
      </c>
      <c r="N60" s="3">
        <v>226.65</v>
      </c>
      <c r="O60" s="11">
        <f>Table16[[#This Row],[Unit sold Filled]]*Table16[[#This Row],[Unit Price Filled]]</f>
        <v>54210</v>
      </c>
    </row>
    <row r="61" spans="1:15" x14ac:dyDescent="0.3">
      <c r="A61" s="1" t="s">
        <v>88</v>
      </c>
      <c r="B61" s="1" t="s">
        <v>22</v>
      </c>
      <c r="C61" s="3" t="str">
        <f t="shared" si="1"/>
        <v>North</v>
      </c>
      <c r="D61" s="1" t="s">
        <v>50</v>
      </c>
      <c r="E61" s="1" t="s">
        <v>19</v>
      </c>
      <c r="F61" s="3" t="str">
        <f t="shared" si="0"/>
        <v>Food</v>
      </c>
      <c r="G61" s="1" t="s">
        <v>14</v>
      </c>
      <c r="H61" s="1" t="s">
        <v>28</v>
      </c>
      <c r="I61" s="2">
        <v>44986</v>
      </c>
      <c r="J61" s="3">
        <v>372</v>
      </c>
      <c r="K61" s="10" cm="1">
        <f t="array" ref="K61">IF(ISBLANK(Table16[[#This Row],[Units Sold]]),AVERAGE(_xlfn._xlws.FILTER(Table16[Units Sold],NOT(ISBLANK(Table16[Units Sold])))),Table16[[#This Row],[Units Sold]])</f>
        <v>372</v>
      </c>
      <c r="L61" s="3">
        <v>235.58</v>
      </c>
      <c r="M61" s="11" cm="1">
        <f t="array" ref="M61">IF(ISBLANK(Table16[[#This Row],[Unit Price]]),AVERAGE(_xlfn._xlws.FILTER(Table16[Unit Price],NOT(ISBLANK(Table16[Unit Price])))),Table16[[#This Row],[Unit Price]])</f>
        <v>235.58</v>
      </c>
      <c r="N61" s="3">
        <v>78.33</v>
      </c>
      <c r="O61" s="11">
        <f>Table16[[#This Row],[Unit sold Filled]]*Table16[[#This Row],[Unit Price Filled]]</f>
        <v>87635.760000000009</v>
      </c>
    </row>
    <row r="62" spans="1:15" x14ac:dyDescent="0.3">
      <c r="A62" s="1" t="s">
        <v>89</v>
      </c>
      <c r="B62" s="1" t="s">
        <v>11</v>
      </c>
      <c r="C62" s="3" t="str">
        <f t="shared" si="1"/>
        <v>East</v>
      </c>
      <c r="D62" s="1" t="s">
        <v>31</v>
      </c>
      <c r="E62" s="1" t="s">
        <v>27</v>
      </c>
      <c r="F62" s="3" t="str">
        <f t="shared" si="0"/>
        <v>Furniture</v>
      </c>
      <c r="G62" s="1" t="s">
        <v>24</v>
      </c>
      <c r="H62" s="1" t="s">
        <v>28</v>
      </c>
      <c r="I62" s="2">
        <v>44987</v>
      </c>
      <c r="J62" s="3">
        <v>54</v>
      </c>
      <c r="K62" s="10" cm="1">
        <f t="array" ref="K62">IF(ISBLANK(Table16[[#This Row],[Units Sold]]),AVERAGE(_xlfn._xlws.FILTER(Table16[Units Sold],NOT(ISBLANK(Table16[Units Sold])))),Table16[[#This Row],[Units Sold]])</f>
        <v>54</v>
      </c>
      <c r="L62" s="3">
        <v>418.82</v>
      </c>
      <c r="M62" s="11" cm="1">
        <f t="array" ref="M62">IF(ISBLANK(Table16[[#This Row],[Unit Price]]),AVERAGE(_xlfn._xlws.FILTER(Table16[Unit Price],NOT(ISBLANK(Table16[Unit Price])))),Table16[[#This Row],[Unit Price]])</f>
        <v>418.82</v>
      </c>
      <c r="N62" s="3">
        <v>86.28</v>
      </c>
      <c r="O62" s="11">
        <f>Table16[[#This Row],[Unit sold Filled]]*Table16[[#This Row],[Unit Price Filled]]</f>
        <v>22616.28</v>
      </c>
    </row>
    <row r="63" spans="1:15" x14ac:dyDescent="0.3">
      <c r="A63" s="1" t="s">
        <v>90</v>
      </c>
      <c r="B63" s="1" t="s">
        <v>11</v>
      </c>
      <c r="C63" s="3" t="str">
        <f t="shared" si="1"/>
        <v>East</v>
      </c>
      <c r="D63" s="1" t="s">
        <v>31</v>
      </c>
      <c r="E63" s="1" t="s">
        <v>19</v>
      </c>
      <c r="F63" s="3" t="str">
        <f t="shared" si="0"/>
        <v>Food</v>
      </c>
      <c r="G63" s="1" t="s">
        <v>24</v>
      </c>
      <c r="H63" s="1" t="s">
        <v>15</v>
      </c>
      <c r="I63" s="2">
        <v>44988</v>
      </c>
      <c r="J63" s="3">
        <v>354</v>
      </c>
      <c r="K63" s="10" cm="1">
        <f t="array" ref="K63">IF(ISBLANK(Table16[[#This Row],[Units Sold]]),AVERAGE(_xlfn._xlws.FILTER(Table16[Units Sold],NOT(ISBLANK(Table16[Units Sold])))),Table16[[#This Row],[Units Sold]])</f>
        <v>354</v>
      </c>
      <c r="L63" s="3">
        <v>121.72</v>
      </c>
      <c r="M63" s="11" cm="1">
        <f t="array" ref="M63">IF(ISBLANK(Table16[[#This Row],[Unit Price]]),AVERAGE(_xlfn._xlws.FILTER(Table16[Unit Price],NOT(ISBLANK(Table16[Unit Price])))),Table16[[#This Row],[Unit Price]])</f>
        <v>121.72</v>
      </c>
      <c r="N63" s="3">
        <v>194.87</v>
      </c>
      <c r="O63" s="11">
        <f>Table16[[#This Row],[Unit sold Filled]]*Table16[[#This Row],[Unit Price Filled]]</f>
        <v>43088.88</v>
      </c>
    </row>
    <row r="64" spans="1:15" x14ac:dyDescent="0.3">
      <c r="A64" s="1" t="s">
        <v>91</v>
      </c>
      <c r="B64" s="1" t="s">
        <v>22</v>
      </c>
      <c r="C64" s="3" t="str">
        <f t="shared" si="1"/>
        <v>North</v>
      </c>
      <c r="D64" s="1" t="s">
        <v>31</v>
      </c>
      <c r="E64" s="1" t="s">
        <v>19</v>
      </c>
      <c r="F64" s="3" t="str">
        <f t="shared" si="0"/>
        <v>Food</v>
      </c>
      <c r="G64" s="1" t="s">
        <v>14</v>
      </c>
      <c r="H64" s="1" t="s">
        <v>15</v>
      </c>
      <c r="I64" s="2">
        <v>44989</v>
      </c>
      <c r="J64" s="3">
        <v>190</v>
      </c>
      <c r="K64" s="10" cm="1">
        <f t="array" ref="K64">IF(ISBLANK(Table16[[#This Row],[Units Sold]]),AVERAGE(_xlfn._xlws.FILTER(Table16[Units Sold],NOT(ISBLANK(Table16[Units Sold])))),Table16[[#This Row],[Units Sold]])</f>
        <v>190</v>
      </c>
      <c r="L64" s="3">
        <v>389.12</v>
      </c>
      <c r="M64" s="11" cm="1">
        <f t="array" ref="M64">IF(ISBLANK(Table16[[#This Row],[Unit Price]]),AVERAGE(_xlfn._xlws.FILTER(Table16[Unit Price],NOT(ISBLANK(Table16[Unit Price])))),Table16[[#This Row],[Unit Price]])</f>
        <v>389.12</v>
      </c>
      <c r="N64" s="3">
        <v>302.19</v>
      </c>
      <c r="O64" s="11">
        <f>Table16[[#This Row],[Unit sold Filled]]*Table16[[#This Row],[Unit Price Filled]]</f>
        <v>73932.800000000003</v>
      </c>
    </row>
    <row r="65" spans="1:15" x14ac:dyDescent="0.3">
      <c r="A65" s="1" t="s">
        <v>92</v>
      </c>
      <c r="B65" s="1"/>
      <c r="C65" s="3" t="str">
        <f t="shared" si="1"/>
        <v>West</v>
      </c>
      <c r="D65" s="1" t="s">
        <v>26</v>
      </c>
      <c r="E65" s="1" t="s">
        <v>13</v>
      </c>
      <c r="F65" s="3" t="str">
        <f t="shared" si="0"/>
        <v>Beverages</v>
      </c>
      <c r="G65" s="1" t="s">
        <v>14</v>
      </c>
      <c r="H65" s="1" t="s">
        <v>15</v>
      </c>
      <c r="I65" s="2">
        <v>44990</v>
      </c>
      <c r="J65" s="3">
        <v>179</v>
      </c>
      <c r="K65" s="10" cm="1">
        <f t="array" ref="K65">IF(ISBLANK(Table16[[#This Row],[Units Sold]]),AVERAGE(_xlfn._xlws.FILTER(Table16[Units Sold],NOT(ISBLANK(Table16[Units Sold])))),Table16[[#This Row],[Units Sold]])</f>
        <v>179</v>
      </c>
      <c r="L65" s="3">
        <v>205.63</v>
      </c>
      <c r="M65" s="11" cm="1">
        <f t="array" ref="M65">IF(ISBLANK(Table16[[#This Row],[Unit Price]]),AVERAGE(_xlfn._xlws.FILTER(Table16[Unit Price],NOT(ISBLANK(Table16[Unit Price])))),Table16[[#This Row],[Unit Price]])</f>
        <v>205.63</v>
      </c>
      <c r="N65" s="3">
        <v>248.56</v>
      </c>
      <c r="O65" s="11">
        <f>Table16[[#This Row],[Unit sold Filled]]*Table16[[#This Row],[Unit Price Filled]]</f>
        <v>36807.769999999997</v>
      </c>
    </row>
    <row r="66" spans="1:15" x14ac:dyDescent="0.3">
      <c r="A66" s="1" t="s">
        <v>93</v>
      </c>
      <c r="B66" s="1" t="s">
        <v>11</v>
      </c>
      <c r="C66" s="3" t="str">
        <f t="shared" si="1"/>
        <v>East</v>
      </c>
      <c r="D66" s="1" t="s">
        <v>50</v>
      </c>
      <c r="E66" s="1" t="s">
        <v>42</v>
      </c>
      <c r="F66" s="3" t="str">
        <f t="shared" ref="F66:F129" si="2">IF(ISBLANK($E66), "Unknown", $E66)</f>
        <v>Electronics</v>
      </c>
      <c r="G66" s="1" t="s">
        <v>24</v>
      </c>
      <c r="H66" s="1" t="s">
        <v>28</v>
      </c>
      <c r="I66" s="2">
        <v>44991</v>
      </c>
      <c r="J66" s="3">
        <v>365</v>
      </c>
      <c r="K66" s="10" cm="1">
        <f t="array" ref="K66">IF(ISBLANK(Table16[[#This Row],[Units Sold]]),AVERAGE(_xlfn._xlws.FILTER(Table16[Units Sold],NOT(ISBLANK(Table16[Units Sold])))),Table16[[#This Row],[Units Sold]])</f>
        <v>365</v>
      </c>
      <c r="L66" s="3">
        <v>302.92</v>
      </c>
      <c r="M66" s="11" cm="1">
        <f t="array" ref="M66">IF(ISBLANK(Table16[[#This Row],[Unit Price]]),AVERAGE(_xlfn._xlws.FILTER(Table16[Unit Price],NOT(ISBLANK(Table16[Unit Price])))),Table16[[#This Row],[Unit Price]])</f>
        <v>302.92</v>
      </c>
      <c r="N66" s="3">
        <v>120.35</v>
      </c>
      <c r="O66" s="11">
        <f>Table16[[#This Row],[Unit sold Filled]]*Table16[[#This Row],[Unit Price Filled]]</f>
        <v>110565.8</v>
      </c>
    </row>
    <row r="67" spans="1:15" x14ac:dyDescent="0.3">
      <c r="A67" s="1" t="s">
        <v>94</v>
      </c>
      <c r="B67" s="1" t="s">
        <v>48</v>
      </c>
      <c r="C67" s="3" t="str">
        <f t="shared" ref="C67:C130" si="3">IF(ISBLANK($B67), "West", $B67)</f>
        <v>South</v>
      </c>
      <c r="D67" s="1" t="s">
        <v>18</v>
      </c>
      <c r="E67" s="1" t="s">
        <v>19</v>
      </c>
      <c r="F67" s="3" t="str">
        <f t="shared" si="2"/>
        <v>Food</v>
      </c>
      <c r="G67" s="1" t="s">
        <v>14</v>
      </c>
      <c r="H67" s="1" t="s">
        <v>28</v>
      </c>
      <c r="I67" s="2">
        <v>44992</v>
      </c>
      <c r="J67" s="3">
        <v>200</v>
      </c>
      <c r="K67" s="10" cm="1">
        <f t="array" ref="K67">IF(ISBLANK(Table16[[#This Row],[Units Sold]]),AVERAGE(_xlfn._xlws.FILTER(Table16[Units Sold],NOT(ISBLANK(Table16[Units Sold])))),Table16[[#This Row],[Units Sold]])</f>
        <v>200</v>
      </c>
      <c r="L67" s="3">
        <v>318.11</v>
      </c>
      <c r="M67" s="11" cm="1">
        <f t="array" ref="M67">IF(ISBLANK(Table16[[#This Row],[Unit Price]]),AVERAGE(_xlfn._xlws.FILTER(Table16[Unit Price],NOT(ISBLANK(Table16[Unit Price])))),Table16[[#This Row],[Unit Price]])</f>
        <v>318.11</v>
      </c>
      <c r="N67" s="3">
        <v>173.27</v>
      </c>
      <c r="O67" s="11">
        <f>Table16[[#This Row],[Unit sold Filled]]*Table16[[#This Row],[Unit Price Filled]]</f>
        <v>63622</v>
      </c>
    </row>
    <row r="68" spans="1:15" x14ac:dyDescent="0.3">
      <c r="A68" s="1" t="s">
        <v>95</v>
      </c>
      <c r="B68" s="1" t="s">
        <v>17</v>
      </c>
      <c r="C68" s="3" t="str">
        <f t="shared" si="3"/>
        <v>West</v>
      </c>
      <c r="D68" s="1" t="s">
        <v>12</v>
      </c>
      <c r="E68" s="1" t="s">
        <v>23</v>
      </c>
      <c r="F68" s="3" t="str">
        <f t="shared" si="2"/>
        <v>Clothing</v>
      </c>
      <c r="G68" s="1" t="s">
        <v>24</v>
      </c>
      <c r="H68" s="1" t="s">
        <v>20</v>
      </c>
      <c r="I68" s="2">
        <v>44993</v>
      </c>
      <c r="J68" s="3">
        <v>164</v>
      </c>
      <c r="K68" s="10" cm="1">
        <f t="array" ref="K68">IF(ISBLANK(Table16[[#This Row],[Units Sold]]),AVERAGE(_xlfn._xlws.FILTER(Table16[Units Sold],NOT(ISBLANK(Table16[Units Sold])))),Table16[[#This Row],[Units Sold]])</f>
        <v>164</v>
      </c>
      <c r="L68" s="3">
        <v>189.56</v>
      </c>
      <c r="M68" s="11" cm="1">
        <f t="array" ref="M68">IF(ISBLANK(Table16[[#This Row],[Unit Price]]),AVERAGE(_xlfn._xlws.FILTER(Table16[Unit Price],NOT(ISBLANK(Table16[Unit Price])))),Table16[[#This Row],[Unit Price]])</f>
        <v>189.56</v>
      </c>
      <c r="N68" s="3">
        <v>69.92</v>
      </c>
      <c r="O68" s="11">
        <f>Table16[[#This Row],[Unit sold Filled]]*Table16[[#This Row],[Unit Price Filled]]</f>
        <v>31087.84</v>
      </c>
    </row>
    <row r="69" spans="1:15" x14ac:dyDescent="0.3">
      <c r="A69" s="1" t="s">
        <v>96</v>
      </c>
      <c r="B69" s="1" t="s">
        <v>22</v>
      </c>
      <c r="C69" s="3" t="str">
        <f t="shared" si="3"/>
        <v>North</v>
      </c>
      <c r="D69" s="1" t="s">
        <v>18</v>
      </c>
      <c r="E69" s="1" t="s">
        <v>42</v>
      </c>
      <c r="F69" s="3" t="str">
        <f t="shared" si="2"/>
        <v>Electronics</v>
      </c>
      <c r="G69" s="1" t="s">
        <v>14</v>
      </c>
      <c r="H69" s="1" t="s">
        <v>15</v>
      </c>
      <c r="I69" s="2">
        <v>44994</v>
      </c>
      <c r="J69" s="3">
        <v>431</v>
      </c>
      <c r="K69" s="10" cm="1">
        <f t="array" ref="K69">IF(ISBLANK(Table16[[#This Row],[Units Sold]]),AVERAGE(_xlfn._xlws.FILTER(Table16[Units Sold],NOT(ISBLANK(Table16[Units Sold])))),Table16[[#This Row],[Units Sold]])</f>
        <v>431</v>
      </c>
      <c r="L69" s="3">
        <v>258.74</v>
      </c>
      <c r="M69" s="11" cm="1">
        <f t="array" ref="M69">IF(ISBLANK(Table16[[#This Row],[Unit Price]]),AVERAGE(_xlfn._xlws.FILTER(Table16[Unit Price],NOT(ISBLANK(Table16[Unit Price])))),Table16[[#This Row],[Unit Price]])</f>
        <v>258.74</v>
      </c>
      <c r="N69" s="3">
        <v>31.7</v>
      </c>
      <c r="O69" s="11">
        <f>Table16[[#This Row],[Unit sold Filled]]*Table16[[#This Row],[Unit Price Filled]]</f>
        <v>111516.94</v>
      </c>
    </row>
    <row r="70" spans="1:15" x14ac:dyDescent="0.3">
      <c r="A70" s="1" t="s">
        <v>97</v>
      </c>
      <c r="B70" s="1" t="s">
        <v>17</v>
      </c>
      <c r="C70" s="3" t="str">
        <f t="shared" si="3"/>
        <v>West</v>
      </c>
      <c r="D70" s="1" t="s">
        <v>50</v>
      </c>
      <c r="E70" s="1" t="s">
        <v>42</v>
      </c>
      <c r="F70" s="3" t="str">
        <f t="shared" si="2"/>
        <v>Electronics</v>
      </c>
      <c r="G70" s="1" t="s">
        <v>14</v>
      </c>
      <c r="H70" s="1" t="s">
        <v>28</v>
      </c>
      <c r="I70" s="2">
        <v>44995</v>
      </c>
      <c r="J70" s="3">
        <v>197</v>
      </c>
      <c r="K70" s="10" cm="1">
        <f t="array" ref="K70">IF(ISBLANK(Table16[[#This Row],[Units Sold]]),AVERAGE(_xlfn._xlws.FILTER(Table16[Units Sold],NOT(ISBLANK(Table16[Units Sold])))),Table16[[#This Row],[Units Sold]])</f>
        <v>197</v>
      </c>
      <c r="L70" s="3">
        <v>209.45</v>
      </c>
      <c r="M70" s="11" cm="1">
        <f t="array" ref="M70">IF(ISBLANK(Table16[[#This Row],[Unit Price]]),AVERAGE(_xlfn._xlws.FILTER(Table16[Unit Price],NOT(ISBLANK(Table16[Unit Price])))),Table16[[#This Row],[Unit Price]])</f>
        <v>209.45</v>
      </c>
      <c r="N70" s="3">
        <v>313.51</v>
      </c>
      <c r="O70" s="11">
        <f>Table16[[#This Row],[Unit sold Filled]]*Table16[[#This Row],[Unit Price Filled]]</f>
        <v>41261.649999999994</v>
      </c>
    </row>
    <row r="71" spans="1:15" x14ac:dyDescent="0.3">
      <c r="A71" s="1" t="s">
        <v>98</v>
      </c>
      <c r="B71" s="1" t="s">
        <v>48</v>
      </c>
      <c r="C71" s="3" t="str">
        <f t="shared" si="3"/>
        <v>South</v>
      </c>
      <c r="D71" s="1" t="s">
        <v>12</v>
      </c>
      <c r="E71" s="1" t="s">
        <v>42</v>
      </c>
      <c r="F71" s="3" t="str">
        <f t="shared" si="2"/>
        <v>Electronics</v>
      </c>
      <c r="G71" s="1" t="s">
        <v>14</v>
      </c>
      <c r="H71" s="1" t="s">
        <v>28</v>
      </c>
      <c r="I71" s="2">
        <v>44996</v>
      </c>
      <c r="J71" s="3">
        <v>16</v>
      </c>
      <c r="K71" s="10" cm="1">
        <f t="array" ref="K71">IF(ISBLANK(Table16[[#This Row],[Units Sold]]),AVERAGE(_xlfn._xlws.FILTER(Table16[Units Sold],NOT(ISBLANK(Table16[Units Sold])))),Table16[[#This Row],[Units Sold]])</f>
        <v>16</v>
      </c>
      <c r="L71" s="3">
        <v>39.22</v>
      </c>
      <c r="M71" s="11" cm="1">
        <f t="array" ref="M71">IF(ISBLANK(Table16[[#This Row],[Unit Price]]),AVERAGE(_xlfn._xlws.FILTER(Table16[Unit Price],NOT(ISBLANK(Table16[Unit Price])))),Table16[[#This Row],[Unit Price]])</f>
        <v>39.22</v>
      </c>
      <c r="N71" s="3">
        <v>107.62</v>
      </c>
      <c r="O71" s="11">
        <f>Table16[[#This Row],[Unit sold Filled]]*Table16[[#This Row],[Unit Price Filled]]</f>
        <v>627.52</v>
      </c>
    </row>
    <row r="72" spans="1:15" x14ac:dyDescent="0.3">
      <c r="A72" s="1" t="s">
        <v>99</v>
      </c>
      <c r="B72" s="1" t="s">
        <v>48</v>
      </c>
      <c r="C72" s="3" t="str">
        <f t="shared" si="3"/>
        <v>South</v>
      </c>
      <c r="D72" s="1" t="s">
        <v>50</v>
      </c>
      <c r="E72" s="1" t="s">
        <v>13</v>
      </c>
      <c r="F72" s="3" t="str">
        <f t="shared" si="2"/>
        <v>Beverages</v>
      </c>
      <c r="G72" s="1" t="s">
        <v>14</v>
      </c>
      <c r="H72" s="1" t="s">
        <v>15</v>
      </c>
      <c r="I72" s="2">
        <v>44997</v>
      </c>
      <c r="J72" s="3">
        <v>142</v>
      </c>
      <c r="K72" s="10" cm="1">
        <f t="array" ref="K72">IF(ISBLANK(Table16[[#This Row],[Units Sold]]),AVERAGE(_xlfn._xlws.FILTER(Table16[Units Sold],NOT(ISBLANK(Table16[Units Sold])))),Table16[[#This Row],[Units Sold]])</f>
        <v>142</v>
      </c>
      <c r="L72" s="3">
        <v>221.4</v>
      </c>
      <c r="M72" s="11" cm="1">
        <f t="array" ref="M72">IF(ISBLANK(Table16[[#This Row],[Unit Price]]),AVERAGE(_xlfn._xlws.FILTER(Table16[Unit Price],NOT(ISBLANK(Table16[Unit Price])))),Table16[[#This Row],[Unit Price]])</f>
        <v>221.4</v>
      </c>
      <c r="N72" s="3">
        <v>72.75</v>
      </c>
      <c r="O72" s="11">
        <f>Table16[[#This Row],[Unit sold Filled]]*Table16[[#This Row],[Unit Price Filled]]</f>
        <v>31438.799999999999</v>
      </c>
    </row>
    <row r="73" spans="1:15" x14ac:dyDescent="0.3">
      <c r="A73" s="1" t="s">
        <v>100</v>
      </c>
      <c r="B73" s="1" t="s">
        <v>48</v>
      </c>
      <c r="C73" s="3" t="str">
        <f t="shared" si="3"/>
        <v>South</v>
      </c>
      <c r="D73" s="1" t="s">
        <v>31</v>
      </c>
      <c r="E73" s="1" t="s">
        <v>19</v>
      </c>
      <c r="F73" s="3" t="str">
        <f t="shared" si="2"/>
        <v>Food</v>
      </c>
      <c r="G73" s="1" t="s">
        <v>14</v>
      </c>
      <c r="H73" s="1" t="s">
        <v>20</v>
      </c>
      <c r="I73" s="2">
        <v>44998</v>
      </c>
      <c r="J73" s="3">
        <v>244</v>
      </c>
      <c r="K73" s="10" cm="1">
        <f t="array" ref="K73">IF(ISBLANK(Table16[[#This Row],[Units Sold]]),AVERAGE(_xlfn._xlws.FILTER(Table16[Units Sold],NOT(ISBLANK(Table16[Units Sold])))),Table16[[#This Row],[Units Sold]])</f>
        <v>244</v>
      </c>
      <c r="L73" s="3">
        <v>53.21</v>
      </c>
      <c r="M73" s="11" cm="1">
        <f t="array" ref="M73">IF(ISBLANK(Table16[[#This Row],[Unit Price]]),AVERAGE(_xlfn._xlws.FILTER(Table16[Unit Price],NOT(ISBLANK(Table16[Unit Price])))),Table16[[#This Row],[Unit Price]])</f>
        <v>53.21</v>
      </c>
      <c r="N73" s="3">
        <v>277.26</v>
      </c>
      <c r="O73" s="11">
        <f>Table16[[#This Row],[Unit sold Filled]]*Table16[[#This Row],[Unit Price Filled]]</f>
        <v>12983.24</v>
      </c>
    </row>
    <row r="74" spans="1:15" x14ac:dyDescent="0.3">
      <c r="A74" s="1" t="s">
        <v>101</v>
      </c>
      <c r="B74" s="1" t="s">
        <v>22</v>
      </c>
      <c r="C74" s="3" t="str">
        <f t="shared" si="3"/>
        <v>North</v>
      </c>
      <c r="D74" s="1" t="s">
        <v>12</v>
      </c>
      <c r="E74" s="1" t="s">
        <v>13</v>
      </c>
      <c r="F74" s="3" t="str">
        <f t="shared" si="2"/>
        <v>Beverages</v>
      </c>
      <c r="G74" s="1" t="s">
        <v>14</v>
      </c>
      <c r="H74" s="1" t="s">
        <v>15</v>
      </c>
      <c r="I74" s="2">
        <v>44999</v>
      </c>
      <c r="J74" s="3">
        <v>54</v>
      </c>
      <c r="K74" s="10" cm="1">
        <f t="array" ref="K74">IF(ISBLANK(Table16[[#This Row],[Units Sold]]),AVERAGE(_xlfn._xlws.FILTER(Table16[Units Sold],NOT(ISBLANK(Table16[Units Sold])))),Table16[[#This Row],[Units Sold]])</f>
        <v>54</v>
      </c>
      <c r="L74" s="3">
        <v>205.49</v>
      </c>
      <c r="M74" s="11" cm="1">
        <f t="array" ref="M74">IF(ISBLANK(Table16[[#This Row],[Unit Price]]),AVERAGE(_xlfn._xlws.FILTER(Table16[Unit Price],NOT(ISBLANK(Table16[Unit Price])))),Table16[[#This Row],[Unit Price]])</f>
        <v>205.49</v>
      </c>
      <c r="N74" s="3">
        <v>247.98</v>
      </c>
      <c r="O74" s="11">
        <f>Table16[[#This Row],[Unit sold Filled]]*Table16[[#This Row],[Unit Price Filled]]</f>
        <v>11096.460000000001</v>
      </c>
    </row>
    <row r="75" spans="1:15" x14ac:dyDescent="0.3">
      <c r="A75" s="1" t="s">
        <v>102</v>
      </c>
      <c r="B75" s="1" t="s">
        <v>48</v>
      </c>
      <c r="C75" s="3" t="str">
        <f t="shared" si="3"/>
        <v>South</v>
      </c>
      <c r="D75" s="1" t="s">
        <v>31</v>
      </c>
      <c r="E75" s="1" t="s">
        <v>19</v>
      </c>
      <c r="F75" s="3" t="str">
        <f t="shared" si="2"/>
        <v>Food</v>
      </c>
      <c r="G75" s="1" t="s">
        <v>14</v>
      </c>
      <c r="H75" s="1" t="s">
        <v>20</v>
      </c>
      <c r="I75" s="2">
        <v>45000</v>
      </c>
      <c r="J75" s="3">
        <v>323</v>
      </c>
      <c r="K75" s="10" cm="1">
        <f t="array" ref="K75">IF(ISBLANK(Table16[[#This Row],[Units Sold]]),AVERAGE(_xlfn._xlws.FILTER(Table16[Units Sold],NOT(ISBLANK(Table16[Units Sold])))),Table16[[#This Row],[Units Sold]])</f>
        <v>323</v>
      </c>
      <c r="L75" s="3">
        <v>298.49</v>
      </c>
      <c r="M75" s="11" cm="1">
        <f t="array" ref="M75">IF(ISBLANK(Table16[[#This Row],[Unit Price]]),AVERAGE(_xlfn._xlws.FILTER(Table16[Unit Price],NOT(ISBLANK(Table16[Unit Price])))),Table16[[#This Row],[Unit Price]])</f>
        <v>298.49</v>
      </c>
      <c r="N75" s="3">
        <v>254.01</v>
      </c>
      <c r="O75" s="11">
        <f>Table16[[#This Row],[Unit sold Filled]]*Table16[[#This Row],[Unit Price Filled]]</f>
        <v>96412.27</v>
      </c>
    </row>
    <row r="76" spans="1:15" x14ac:dyDescent="0.3">
      <c r="A76" s="1" t="s">
        <v>103</v>
      </c>
      <c r="B76" s="1" t="s">
        <v>22</v>
      </c>
      <c r="C76" s="3" t="str">
        <f t="shared" si="3"/>
        <v>North</v>
      </c>
      <c r="D76" s="1" t="s">
        <v>18</v>
      </c>
      <c r="E76" s="1" t="s">
        <v>13</v>
      </c>
      <c r="F76" s="3" t="str">
        <f t="shared" si="2"/>
        <v>Beverages</v>
      </c>
      <c r="G76" s="1" t="s">
        <v>24</v>
      </c>
      <c r="H76" s="1" t="s">
        <v>28</v>
      </c>
      <c r="I76" s="2">
        <v>45001</v>
      </c>
      <c r="J76" s="3">
        <v>258</v>
      </c>
      <c r="K76" s="10" cm="1">
        <f t="array" ref="K76">IF(ISBLANK(Table16[[#This Row],[Units Sold]]),AVERAGE(_xlfn._xlws.FILTER(Table16[Units Sold],NOT(ISBLANK(Table16[Units Sold])))),Table16[[#This Row],[Units Sold]])</f>
        <v>258</v>
      </c>
      <c r="L76" s="3">
        <v>291.81</v>
      </c>
      <c r="M76" s="11" cm="1">
        <f t="array" ref="M76">IF(ISBLANK(Table16[[#This Row],[Unit Price]]),AVERAGE(_xlfn._xlws.FILTER(Table16[Unit Price],NOT(ISBLANK(Table16[Unit Price])))),Table16[[#This Row],[Unit Price]])</f>
        <v>291.81</v>
      </c>
      <c r="N76" s="3">
        <v>93.1</v>
      </c>
      <c r="O76" s="11">
        <f>Table16[[#This Row],[Unit sold Filled]]*Table16[[#This Row],[Unit Price Filled]]</f>
        <v>75286.98</v>
      </c>
    </row>
    <row r="77" spans="1:15" x14ac:dyDescent="0.3">
      <c r="A77" s="1" t="s">
        <v>104</v>
      </c>
      <c r="B77" s="1" t="s">
        <v>48</v>
      </c>
      <c r="C77" s="3" t="str">
        <f t="shared" si="3"/>
        <v>South</v>
      </c>
      <c r="D77" s="1" t="s">
        <v>18</v>
      </c>
      <c r="E77" s="1" t="s">
        <v>13</v>
      </c>
      <c r="F77" s="3" t="str">
        <f t="shared" si="2"/>
        <v>Beverages</v>
      </c>
      <c r="G77" s="1" t="s">
        <v>24</v>
      </c>
      <c r="H77" s="1" t="s">
        <v>20</v>
      </c>
      <c r="I77" s="2">
        <v>45002</v>
      </c>
      <c r="J77" s="3">
        <v>40</v>
      </c>
      <c r="K77" s="10" cm="1">
        <f t="array" ref="K77">IF(ISBLANK(Table16[[#This Row],[Units Sold]]),AVERAGE(_xlfn._xlws.FILTER(Table16[Units Sold],NOT(ISBLANK(Table16[Units Sold])))),Table16[[#This Row],[Units Sold]])</f>
        <v>40</v>
      </c>
      <c r="L77" s="3">
        <v>333</v>
      </c>
      <c r="M77" s="11" cm="1">
        <f t="array" ref="M77">IF(ISBLANK(Table16[[#This Row],[Unit Price]]),AVERAGE(_xlfn._xlws.FILTER(Table16[Unit Price],NOT(ISBLANK(Table16[Unit Price])))),Table16[[#This Row],[Unit Price]])</f>
        <v>333</v>
      </c>
      <c r="N77" s="3">
        <v>94.59</v>
      </c>
      <c r="O77" s="11">
        <f>Table16[[#This Row],[Unit sold Filled]]*Table16[[#This Row],[Unit Price Filled]]</f>
        <v>13320</v>
      </c>
    </row>
    <row r="78" spans="1:15" x14ac:dyDescent="0.3">
      <c r="A78" s="1" t="s">
        <v>105</v>
      </c>
      <c r="B78" s="1" t="s">
        <v>17</v>
      </c>
      <c r="C78" s="3" t="str">
        <f t="shared" si="3"/>
        <v>West</v>
      </c>
      <c r="D78" s="1" t="s">
        <v>12</v>
      </c>
      <c r="E78" s="1" t="s">
        <v>23</v>
      </c>
      <c r="F78" s="3" t="str">
        <f t="shared" si="2"/>
        <v>Clothing</v>
      </c>
      <c r="G78" s="1" t="s">
        <v>24</v>
      </c>
      <c r="H78" s="1" t="s">
        <v>28</v>
      </c>
      <c r="I78" s="2">
        <v>45003</v>
      </c>
      <c r="J78" s="3">
        <v>32</v>
      </c>
      <c r="K78" s="10" cm="1">
        <f t="array" ref="K78">IF(ISBLANK(Table16[[#This Row],[Units Sold]]),AVERAGE(_xlfn._xlws.FILTER(Table16[Units Sold],NOT(ISBLANK(Table16[Units Sold])))),Table16[[#This Row],[Units Sold]])</f>
        <v>32</v>
      </c>
      <c r="L78" s="3">
        <v>52.15</v>
      </c>
      <c r="M78" s="11" cm="1">
        <f t="array" ref="M78">IF(ISBLANK(Table16[[#This Row],[Unit Price]]),AVERAGE(_xlfn._xlws.FILTER(Table16[Unit Price],NOT(ISBLANK(Table16[Unit Price])))),Table16[[#This Row],[Unit Price]])</f>
        <v>52.15</v>
      </c>
      <c r="N78" s="3">
        <v>89.88</v>
      </c>
      <c r="O78" s="11">
        <f>Table16[[#This Row],[Unit sold Filled]]*Table16[[#This Row],[Unit Price Filled]]</f>
        <v>1668.8</v>
      </c>
    </row>
    <row r="79" spans="1:15" x14ac:dyDescent="0.3">
      <c r="A79" s="1" t="s">
        <v>106</v>
      </c>
      <c r="B79" s="1" t="s">
        <v>17</v>
      </c>
      <c r="C79" s="3" t="str">
        <f t="shared" si="3"/>
        <v>West</v>
      </c>
      <c r="D79" s="1" t="s">
        <v>12</v>
      </c>
      <c r="E79" s="1" t="s">
        <v>13</v>
      </c>
      <c r="F79" s="3" t="str">
        <f t="shared" si="2"/>
        <v>Beverages</v>
      </c>
      <c r="G79" s="1" t="s">
        <v>24</v>
      </c>
      <c r="H79" s="1" t="s">
        <v>15</v>
      </c>
      <c r="I79" s="2">
        <v>45004</v>
      </c>
      <c r="J79" s="3">
        <v>435</v>
      </c>
      <c r="K79" s="10" cm="1">
        <f t="array" ref="K79">IF(ISBLANK(Table16[[#This Row],[Units Sold]]),AVERAGE(_xlfn._xlws.FILTER(Table16[Units Sold],NOT(ISBLANK(Table16[Units Sold])))),Table16[[#This Row],[Units Sold]])</f>
        <v>435</v>
      </c>
      <c r="L79" s="3">
        <v>327.8</v>
      </c>
      <c r="M79" s="11" cm="1">
        <f t="array" ref="M79">IF(ISBLANK(Table16[[#This Row],[Unit Price]]),AVERAGE(_xlfn._xlws.FILTER(Table16[Unit Price],NOT(ISBLANK(Table16[Unit Price])))),Table16[[#This Row],[Unit Price]])</f>
        <v>327.8</v>
      </c>
      <c r="N79" s="3">
        <v>71.150000000000006</v>
      </c>
      <c r="O79" s="11">
        <f>Table16[[#This Row],[Unit sold Filled]]*Table16[[#This Row],[Unit Price Filled]]</f>
        <v>142593</v>
      </c>
    </row>
    <row r="80" spans="1:15" x14ac:dyDescent="0.3">
      <c r="A80" s="1" t="s">
        <v>107</v>
      </c>
      <c r="B80" s="1" t="s">
        <v>11</v>
      </c>
      <c r="C80" s="3" t="str">
        <f t="shared" si="3"/>
        <v>East</v>
      </c>
      <c r="D80" s="1" t="s">
        <v>50</v>
      </c>
      <c r="E80" s="1" t="s">
        <v>27</v>
      </c>
      <c r="F80" s="3" t="str">
        <f t="shared" si="2"/>
        <v>Furniture</v>
      </c>
      <c r="G80" s="1" t="s">
        <v>24</v>
      </c>
      <c r="H80" s="1" t="s">
        <v>15</v>
      </c>
      <c r="I80" s="2">
        <v>45005</v>
      </c>
      <c r="J80" s="3">
        <v>403</v>
      </c>
      <c r="K80" s="10" cm="1">
        <f t="array" ref="K80">IF(ISBLANK(Table16[[#This Row],[Units Sold]]),AVERAGE(_xlfn._xlws.FILTER(Table16[Units Sold],NOT(ISBLANK(Table16[Units Sold])))),Table16[[#This Row],[Units Sold]])</f>
        <v>403</v>
      </c>
      <c r="L80" s="3">
        <v>159.51</v>
      </c>
      <c r="M80" s="11" cm="1">
        <f t="array" ref="M80">IF(ISBLANK(Table16[[#This Row],[Unit Price]]),AVERAGE(_xlfn._xlws.FILTER(Table16[Unit Price],NOT(ISBLANK(Table16[Unit Price])))),Table16[[#This Row],[Unit Price]])</f>
        <v>159.51</v>
      </c>
      <c r="N80" s="3">
        <v>262.98</v>
      </c>
      <c r="O80" s="11">
        <f>Table16[[#This Row],[Unit sold Filled]]*Table16[[#This Row],[Unit Price Filled]]</f>
        <v>64282.53</v>
      </c>
    </row>
    <row r="81" spans="1:15" x14ac:dyDescent="0.3">
      <c r="A81" s="1" t="s">
        <v>108</v>
      </c>
      <c r="B81" s="1" t="s">
        <v>17</v>
      </c>
      <c r="C81" s="3" t="str">
        <f t="shared" si="3"/>
        <v>West</v>
      </c>
      <c r="D81" s="1" t="s">
        <v>50</v>
      </c>
      <c r="E81" s="1" t="s">
        <v>23</v>
      </c>
      <c r="F81" s="3" t="str">
        <f t="shared" si="2"/>
        <v>Clothing</v>
      </c>
      <c r="G81" s="1" t="s">
        <v>14</v>
      </c>
      <c r="H81" s="1" t="s">
        <v>15</v>
      </c>
      <c r="I81" s="2">
        <v>45006</v>
      </c>
      <c r="J81" s="3">
        <v>169</v>
      </c>
      <c r="K81" s="10" cm="1">
        <f t="array" ref="K81">IF(ISBLANK(Table16[[#This Row],[Units Sold]]),AVERAGE(_xlfn._xlws.FILTER(Table16[Units Sold],NOT(ISBLANK(Table16[Units Sold])))),Table16[[#This Row],[Units Sold]])</f>
        <v>169</v>
      </c>
      <c r="L81" s="1"/>
      <c r="M81" s="11" cm="1">
        <f t="array" ref="M81">IF(ISBLANK(Table16[[#This Row],[Unit Price]]),AVERAGE(_xlfn._xlws.FILTER(Table16[Unit Price],NOT(ISBLANK(Table16[Unit Price])))),Table16[[#This Row],[Unit Price]])</f>
        <v>249.64520588235297</v>
      </c>
      <c r="N81" s="3">
        <v>339.51</v>
      </c>
      <c r="O81" s="11">
        <f>Table16[[#This Row],[Unit sold Filled]]*Table16[[#This Row],[Unit Price Filled]]</f>
        <v>42190.039794117649</v>
      </c>
    </row>
    <row r="82" spans="1:15" x14ac:dyDescent="0.3">
      <c r="A82" s="1" t="s">
        <v>109</v>
      </c>
      <c r="B82" s="1" t="s">
        <v>11</v>
      </c>
      <c r="C82" s="3" t="str">
        <f t="shared" si="3"/>
        <v>East</v>
      </c>
      <c r="D82" s="1" t="s">
        <v>31</v>
      </c>
      <c r="E82" s="1" t="s">
        <v>13</v>
      </c>
      <c r="F82" s="3" t="str">
        <f t="shared" si="2"/>
        <v>Beverages</v>
      </c>
      <c r="G82" s="1" t="s">
        <v>14</v>
      </c>
      <c r="H82" s="1" t="s">
        <v>20</v>
      </c>
      <c r="I82" s="2">
        <v>45007</v>
      </c>
      <c r="J82" s="3">
        <v>372</v>
      </c>
      <c r="K82" s="10" cm="1">
        <f t="array" ref="K82">IF(ISBLANK(Table16[[#This Row],[Units Sold]]),AVERAGE(_xlfn._xlws.FILTER(Table16[Units Sold],NOT(ISBLANK(Table16[Units Sold])))),Table16[[#This Row],[Units Sold]])</f>
        <v>372</v>
      </c>
      <c r="L82" s="3">
        <v>429.7</v>
      </c>
      <c r="M82" s="11" cm="1">
        <f t="array" ref="M82">IF(ISBLANK(Table16[[#This Row],[Unit Price]]),AVERAGE(_xlfn._xlws.FILTER(Table16[Unit Price],NOT(ISBLANK(Table16[Unit Price])))),Table16[[#This Row],[Unit Price]])</f>
        <v>429.7</v>
      </c>
      <c r="N82" s="3">
        <v>290.27999999999997</v>
      </c>
      <c r="O82" s="11">
        <f>Table16[[#This Row],[Unit sold Filled]]*Table16[[#This Row],[Unit Price Filled]]</f>
        <v>159848.4</v>
      </c>
    </row>
    <row r="83" spans="1:15" x14ac:dyDescent="0.3">
      <c r="A83" s="1" t="s">
        <v>110</v>
      </c>
      <c r="B83" s="1" t="s">
        <v>17</v>
      </c>
      <c r="C83" s="3" t="str">
        <f t="shared" si="3"/>
        <v>West</v>
      </c>
      <c r="D83" s="1" t="s">
        <v>12</v>
      </c>
      <c r="E83" s="1" t="s">
        <v>42</v>
      </c>
      <c r="F83" s="3" t="str">
        <f t="shared" si="2"/>
        <v>Electronics</v>
      </c>
      <c r="G83" s="1" t="s">
        <v>24</v>
      </c>
      <c r="H83" s="1" t="s">
        <v>28</v>
      </c>
      <c r="I83" s="2">
        <v>45008</v>
      </c>
      <c r="J83" s="3">
        <v>446</v>
      </c>
      <c r="K83" s="10" cm="1">
        <f t="array" ref="K83">IF(ISBLANK(Table16[[#This Row],[Units Sold]]),AVERAGE(_xlfn._xlws.FILTER(Table16[Units Sold],NOT(ISBLANK(Table16[Units Sold])))),Table16[[#This Row],[Units Sold]])</f>
        <v>446</v>
      </c>
      <c r="L83" s="3">
        <v>9.4700000000000006</v>
      </c>
      <c r="M83" s="11" cm="1">
        <f t="array" ref="M83">IF(ISBLANK(Table16[[#This Row],[Unit Price]]),AVERAGE(_xlfn._xlws.FILTER(Table16[Unit Price],NOT(ISBLANK(Table16[Unit Price])))),Table16[[#This Row],[Unit Price]])</f>
        <v>9.4700000000000006</v>
      </c>
      <c r="N83" s="3">
        <v>317.25</v>
      </c>
      <c r="O83" s="11">
        <f>Table16[[#This Row],[Unit sold Filled]]*Table16[[#This Row],[Unit Price Filled]]</f>
        <v>4223.62</v>
      </c>
    </row>
    <row r="84" spans="1:15" x14ac:dyDescent="0.3">
      <c r="A84" s="1" t="s">
        <v>111</v>
      </c>
      <c r="B84" s="1" t="s">
        <v>22</v>
      </c>
      <c r="C84" s="3" t="str">
        <f t="shared" si="3"/>
        <v>North</v>
      </c>
      <c r="D84" s="1" t="s">
        <v>18</v>
      </c>
      <c r="E84" s="1" t="s">
        <v>27</v>
      </c>
      <c r="F84" s="3" t="str">
        <f t="shared" si="2"/>
        <v>Furniture</v>
      </c>
      <c r="G84" s="1" t="s">
        <v>14</v>
      </c>
      <c r="H84" s="1" t="s">
        <v>15</v>
      </c>
      <c r="I84" s="2">
        <v>45009</v>
      </c>
      <c r="J84" s="3">
        <v>167</v>
      </c>
      <c r="K84" s="10" cm="1">
        <f t="array" ref="K84">IF(ISBLANK(Table16[[#This Row],[Units Sold]]),AVERAGE(_xlfn._xlws.FILTER(Table16[Units Sold],NOT(ISBLANK(Table16[Units Sold])))),Table16[[#This Row],[Units Sold]])</f>
        <v>167</v>
      </c>
      <c r="L84" s="3">
        <v>296.26</v>
      </c>
      <c r="M84" s="11" cm="1">
        <f t="array" ref="M84">IF(ISBLANK(Table16[[#This Row],[Unit Price]]),AVERAGE(_xlfn._xlws.FILTER(Table16[Unit Price],NOT(ISBLANK(Table16[Unit Price])))),Table16[[#This Row],[Unit Price]])</f>
        <v>296.26</v>
      </c>
      <c r="N84" s="3">
        <v>163.11000000000001</v>
      </c>
      <c r="O84" s="11">
        <f>Table16[[#This Row],[Unit sold Filled]]*Table16[[#This Row],[Unit Price Filled]]</f>
        <v>49475.42</v>
      </c>
    </row>
    <row r="85" spans="1:15" x14ac:dyDescent="0.3">
      <c r="A85" s="1" t="s">
        <v>112</v>
      </c>
      <c r="B85" s="1" t="s">
        <v>17</v>
      </c>
      <c r="C85" s="3" t="str">
        <f t="shared" si="3"/>
        <v>West</v>
      </c>
      <c r="D85" s="1" t="s">
        <v>50</v>
      </c>
      <c r="E85" s="1" t="s">
        <v>27</v>
      </c>
      <c r="F85" s="3" t="str">
        <f t="shared" si="2"/>
        <v>Furniture</v>
      </c>
      <c r="G85" s="1" t="s">
        <v>24</v>
      </c>
      <c r="H85" s="1" t="s">
        <v>15</v>
      </c>
      <c r="I85" s="2">
        <v>45010</v>
      </c>
      <c r="J85" s="3">
        <v>48</v>
      </c>
      <c r="K85" s="10" cm="1">
        <f t="array" ref="K85">IF(ISBLANK(Table16[[#This Row],[Units Sold]]),AVERAGE(_xlfn._xlws.FILTER(Table16[Units Sold],NOT(ISBLANK(Table16[Units Sold])))),Table16[[#This Row],[Units Sold]])</f>
        <v>48</v>
      </c>
      <c r="L85" s="3">
        <v>301.36</v>
      </c>
      <c r="M85" s="11" cm="1">
        <f t="array" ref="M85">IF(ISBLANK(Table16[[#This Row],[Unit Price]]),AVERAGE(_xlfn._xlws.FILTER(Table16[Unit Price],NOT(ISBLANK(Table16[Unit Price])))),Table16[[#This Row],[Unit Price]])</f>
        <v>301.36</v>
      </c>
      <c r="N85" s="3">
        <v>262.32</v>
      </c>
      <c r="O85" s="11">
        <f>Table16[[#This Row],[Unit sold Filled]]*Table16[[#This Row],[Unit Price Filled]]</f>
        <v>14465.28</v>
      </c>
    </row>
    <row r="86" spans="1:15" x14ac:dyDescent="0.3">
      <c r="A86" s="1" t="s">
        <v>113</v>
      </c>
      <c r="B86" s="1" t="s">
        <v>11</v>
      </c>
      <c r="C86" s="3" t="str">
        <f t="shared" si="3"/>
        <v>East</v>
      </c>
      <c r="D86" s="1" t="s">
        <v>50</v>
      </c>
      <c r="E86" s="1" t="s">
        <v>27</v>
      </c>
      <c r="F86" s="3" t="str">
        <f t="shared" si="2"/>
        <v>Furniture</v>
      </c>
      <c r="G86" s="1" t="s">
        <v>24</v>
      </c>
      <c r="H86" s="1" t="s">
        <v>28</v>
      </c>
      <c r="I86" s="2">
        <v>45011</v>
      </c>
      <c r="J86" s="3">
        <v>424</v>
      </c>
      <c r="K86" s="10" cm="1">
        <f t="array" ref="K86">IF(ISBLANK(Table16[[#This Row],[Units Sold]]),AVERAGE(_xlfn._xlws.FILTER(Table16[Units Sold],NOT(ISBLANK(Table16[Units Sold])))),Table16[[#This Row],[Units Sold]])</f>
        <v>424</v>
      </c>
      <c r="L86" s="3">
        <v>201.35</v>
      </c>
      <c r="M86" s="11" cm="1">
        <f t="array" ref="M86">IF(ISBLANK(Table16[[#This Row],[Unit Price]]),AVERAGE(_xlfn._xlws.FILTER(Table16[Unit Price],NOT(ISBLANK(Table16[Unit Price])))),Table16[[#This Row],[Unit Price]])</f>
        <v>201.35</v>
      </c>
      <c r="N86" s="3">
        <v>142.99</v>
      </c>
      <c r="O86" s="11">
        <f>Table16[[#This Row],[Unit sold Filled]]*Table16[[#This Row],[Unit Price Filled]]</f>
        <v>85372.4</v>
      </c>
    </row>
    <row r="87" spans="1:15" x14ac:dyDescent="0.3">
      <c r="A87" s="1" t="s">
        <v>114</v>
      </c>
      <c r="B87" s="1" t="s">
        <v>11</v>
      </c>
      <c r="C87" s="3" t="str">
        <f t="shared" si="3"/>
        <v>East</v>
      </c>
      <c r="D87" s="1" t="s">
        <v>18</v>
      </c>
      <c r="E87" s="1" t="s">
        <v>23</v>
      </c>
      <c r="F87" s="3" t="str">
        <f t="shared" si="2"/>
        <v>Clothing</v>
      </c>
      <c r="G87" s="1" t="s">
        <v>14</v>
      </c>
      <c r="H87" s="1" t="s">
        <v>15</v>
      </c>
      <c r="I87" s="2">
        <v>45012</v>
      </c>
      <c r="J87" s="3">
        <v>91</v>
      </c>
      <c r="K87" s="10" cm="1">
        <f t="array" ref="K87">IF(ISBLANK(Table16[[#This Row],[Units Sold]]),AVERAGE(_xlfn._xlws.FILTER(Table16[Units Sold],NOT(ISBLANK(Table16[Units Sold])))),Table16[[#This Row],[Units Sold]])</f>
        <v>91</v>
      </c>
      <c r="L87" s="3">
        <v>122.33</v>
      </c>
      <c r="M87" s="11" cm="1">
        <f t="array" ref="M87">IF(ISBLANK(Table16[[#This Row],[Unit Price]]),AVERAGE(_xlfn._xlws.FILTER(Table16[Unit Price],NOT(ISBLANK(Table16[Unit Price])))),Table16[[#This Row],[Unit Price]])</f>
        <v>122.33</v>
      </c>
      <c r="N87" s="3">
        <v>211.15</v>
      </c>
      <c r="O87" s="11">
        <f>Table16[[#This Row],[Unit sold Filled]]*Table16[[#This Row],[Unit Price Filled]]</f>
        <v>11132.03</v>
      </c>
    </row>
    <row r="88" spans="1:15" x14ac:dyDescent="0.3">
      <c r="A88" s="1" t="s">
        <v>115</v>
      </c>
      <c r="B88" s="1" t="s">
        <v>48</v>
      </c>
      <c r="C88" s="3" t="str">
        <f t="shared" si="3"/>
        <v>South</v>
      </c>
      <c r="D88" s="1" t="s">
        <v>50</v>
      </c>
      <c r="E88" s="1" t="s">
        <v>13</v>
      </c>
      <c r="F88" s="3" t="str">
        <f t="shared" si="2"/>
        <v>Beverages</v>
      </c>
      <c r="G88" s="1" t="s">
        <v>14</v>
      </c>
      <c r="H88" s="1" t="s">
        <v>28</v>
      </c>
      <c r="I88" s="2">
        <v>45013</v>
      </c>
      <c r="J88" s="3">
        <v>365</v>
      </c>
      <c r="K88" s="10" cm="1">
        <f t="array" ref="K88">IF(ISBLANK(Table16[[#This Row],[Units Sold]]),AVERAGE(_xlfn._xlws.FILTER(Table16[Units Sold],NOT(ISBLANK(Table16[Units Sold])))),Table16[[#This Row],[Units Sold]])</f>
        <v>365</v>
      </c>
      <c r="L88" s="3">
        <v>121.16</v>
      </c>
      <c r="M88" s="11" cm="1">
        <f t="array" ref="M88">IF(ISBLANK(Table16[[#This Row],[Unit Price]]),AVERAGE(_xlfn._xlws.FILTER(Table16[Unit Price],NOT(ISBLANK(Table16[Unit Price])))),Table16[[#This Row],[Unit Price]])</f>
        <v>121.16</v>
      </c>
      <c r="N88" s="3">
        <v>193.69</v>
      </c>
      <c r="O88" s="11">
        <f>Table16[[#This Row],[Unit sold Filled]]*Table16[[#This Row],[Unit Price Filled]]</f>
        <v>44223.4</v>
      </c>
    </row>
    <row r="89" spans="1:15" x14ac:dyDescent="0.3">
      <c r="A89" s="1" t="s">
        <v>116</v>
      </c>
      <c r="B89" s="1" t="s">
        <v>22</v>
      </c>
      <c r="C89" s="3" t="str">
        <f t="shared" si="3"/>
        <v>North</v>
      </c>
      <c r="D89" s="1" t="s">
        <v>31</v>
      </c>
      <c r="E89" s="1" t="s">
        <v>13</v>
      </c>
      <c r="F89" s="3" t="str">
        <f t="shared" si="2"/>
        <v>Beverages</v>
      </c>
      <c r="G89" s="1" t="s">
        <v>14</v>
      </c>
      <c r="H89" s="1" t="s">
        <v>28</v>
      </c>
      <c r="I89" s="2">
        <v>45014</v>
      </c>
      <c r="J89" s="3">
        <v>267</v>
      </c>
      <c r="K89" s="10" cm="1">
        <f t="array" ref="K89">IF(ISBLANK(Table16[[#This Row],[Units Sold]]),AVERAGE(_xlfn._xlws.FILTER(Table16[Units Sold],NOT(ISBLANK(Table16[Units Sold])))),Table16[[#This Row],[Units Sold]])</f>
        <v>267</v>
      </c>
      <c r="L89" s="3">
        <v>442.44</v>
      </c>
      <c r="M89" s="11" cm="1">
        <f t="array" ref="M89">IF(ISBLANK(Table16[[#This Row],[Unit Price]]),AVERAGE(_xlfn._xlws.FILTER(Table16[Unit Price],NOT(ISBLANK(Table16[Unit Price])))),Table16[[#This Row],[Unit Price]])</f>
        <v>442.44</v>
      </c>
      <c r="N89" s="3">
        <v>72.400000000000006</v>
      </c>
      <c r="O89" s="11">
        <f>Table16[[#This Row],[Unit sold Filled]]*Table16[[#This Row],[Unit Price Filled]]</f>
        <v>118131.48</v>
      </c>
    </row>
    <row r="90" spans="1:15" x14ac:dyDescent="0.3">
      <c r="A90" s="1" t="s">
        <v>117</v>
      </c>
      <c r="B90" s="1" t="s">
        <v>17</v>
      </c>
      <c r="C90" s="3" t="str">
        <f t="shared" si="3"/>
        <v>West</v>
      </c>
      <c r="D90" s="1" t="s">
        <v>12</v>
      </c>
      <c r="E90" s="1" t="s">
        <v>42</v>
      </c>
      <c r="F90" s="3" t="str">
        <f t="shared" si="2"/>
        <v>Electronics</v>
      </c>
      <c r="G90" s="1" t="s">
        <v>24</v>
      </c>
      <c r="H90" s="1" t="s">
        <v>28</v>
      </c>
      <c r="I90" s="2">
        <v>45015</v>
      </c>
      <c r="J90" s="3">
        <v>215</v>
      </c>
      <c r="K90" s="10" cm="1">
        <f t="array" ref="K90">IF(ISBLANK(Table16[[#This Row],[Units Sold]]),AVERAGE(_xlfn._xlws.FILTER(Table16[Units Sold],NOT(ISBLANK(Table16[Units Sold])))),Table16[[#This Row],[Units Sold]])</f>
        <v>215</v>
      </c>
      <c r="L90" s="3">
        <v>223.8</v>
      </c>
      <c r="M90" s="11" cm="1">
        <f t="array" ref="M90">IF(ISBLANK(Table16[[#This Row],[Unit Price]]),AVERAGE(_xlfn._xlws.FILTER(Table16[Unit Price],NOT(ISBLANK(Table16[Unit Price])))),Table16[[#This Row],[Unit Price]])</f>
        <v>223.8</v>
      </c>
      <c r="N90" s="3">
        <v>156.06</v>
      </c>
      <c r="O90" s="11">
        <f>Table16[[#This Row],[Unit sold Filled]]*Table16[[#This Row],[Unit Price Filled]]</f>
        <v>48117</v>
      </c>
    </row>
    <row r="91" spans="1:15" x14ac:dyDescent="0.3">
      <c r="A91" s="1" t="s">
        <v>118</v>
      </c>
      <c r="B91" s="1" t="s">
        <v>48</v>
      </c>
      <c r="C91" s="3" t="str">
        <f t="shared" si="3"/>
        <v>South</v>
      </c>
      <c r="D91" s="1" t="s">
        <v>18</v>
      </c>
      <c r="E91" s="1" t="s">
        <v>42</v>
      </c>
      <c r="F91" s="3" t="str">
        <f t="shared" si="2"/>
        <v>Electronics</v>
      </c>
      <c r="G91" s="1" t="s">
        <v>14</v>
      </c>
      <c r="H91" s="1" t="s">
        <v>28</v>
      </c>
      <c r="I91" s="2">
        <v>45016</v>
      </c>
      <c r="J91" s="3">
        <v>86</v>
      </c>
      <c r="K91" s="10" cm="1">
        <f t="array" ref="K91">IF(ISBLANK(Table16[[#This Row],[Units Sold]]),AVERAGE(_xlfn._xlws.FILTER(Table16[Units Sold],NOT(ISBLANK(Table16[Units Sold])))),Table16[[#This Row],[Units Sold]])</f>
        <v>86</v>
      </c>
      <c r="L91" s="3">
        <v>168.79</v>
      </c>
      <c r="M91" s="11" cm="1">
        <f t="array" ref="M91">IF(ISBLANK(Table16[[#This Row],[Unit Price]]),AVERAGE(_xlfn._xlws.FILTER(Table16[Unit Price],NOT(ISBLANK(Table16[Unit Price])))),Table16[[#This Row],[Unit Price]])</f>
        <v>168.79</v>
      </c>
      <c r="N91" s="3">
        <v>385.6</v>
      </c>
      <c r="O91" s="11">
        <f>Table16[[#This Row],[Unit sold Filled]]*Table16[[#This Row],[Unit Price Filled]]</f>
        <v>14515.939999999999</v>
      </c>
    </row>
    <row r="92" spans="1:15" x14ac:dyDescent="0.3">
      <c r="A92" s="1" t="s">
        <v>119</v>
      </c>
      <c r="B92" s="1" t="s">
        <v>17</v>
      </c>
      <c r="C92" s="3" t="str">
        <f t="shared" si="3"/>
        <v>West</v>
      </c>
      <c r="D92" s="1" t="s">
        <v>12</v>
      </c>
      <c r="E92" s="1" t="s">
        <v>27</v>
      </c>
      <c r="F92" s="3" t="str">
        <f t="shared" si="2"/>
        <v>Furniture</v>
      </c>
      <c r="G92" s="1" t="s">
        <v>24</v>
      </c>
      <c r="H92" s="1" t="s">
        <v>28</v>
      </c>
      <c r="I92" s="2">
        <v>45017</v>
      </c>
      <c r="J92" s="3">
        <v>486</v>
      </c>
      <c r="K92" s="10" cm="1">
        <f t="array" ref="K92">IF(ISBLANK(Table16[[#This Row],[Units Sold]]),AVERAGE(_xlfn._xlws.FILTER(Table16[Units Sold],NOT(ISBLANK(Table16[Units Sold])))),Table16[[#This Row],[Units Sold]])</f>
        <v>486</v>
      </c>
      <c r="L92" s="3">
        <v>227.14</v>
      </c>
      <c r="M92" s="11" cm="1">
        <f t="array" ref="M92">IF(ISBLANK(Table16[[#This Row],[Unit Price]]),AVERAGE(_xlfn._xlws.FILTER(Table16[Unit Price],NOT(ISBLANK(Table16[Unit Price])))),Table16[[#This Row],[Unit Price]])</f>
        <v>227.14</v>
      </c>
      <c r="N92" s="3">
        <v>100.93</v>
      </c>
      <c r="O92" s="11">
        <f>Table16[[#This Row],[Unit sold Filled]]*Table16[[#This Row],[Unit Price Filled]]</f>
        <v>110390.04</v>
      </c>
    </row>
    <row r="93" spans="1:15" x14ac:dyDescent="0.3">
      <c r="A93" s="1" t="s">
        <v>120</v>
      </c>
      <c r="B93" s="1" t="s">
        <v>17</v>
      </c>
      <c r="C93" s="3" t="str">
        <f t="shared" si="3"/>
        <v>West</v>
      </c>
      <c r="D93" s="1" t="s">
        <v>50</v>
      </c>
      <c r="E93" s="1" t="s">
        <v>42</v>
      </c>
      <c r="F93" s="3" t="str">
        <f t="shared" si="2"/>
        <v>Electronics</v>
      </c>
      <c r="G93" s="1" t="s">
        <v>24</v>
      </c>
      <c r="H93" s="1" t="s">
        <v>20</v>
      </c>
      <c r="I93" s="2">
        <v>45018</v>
      </c>
      <c r="J93" s="3">
        <v>21</v>
      </c>
      <c r="K93" s="10" cm="1">
        <f t="array" ref="K93">IF(ISBLANK(Table16[[#This Row],[Units Sold]]),AVERAGE(_xlfn._xlws.FILTER(Table16[Units Sold],NOT(ISBLANK(Table16[Units Sold])))),Table16[[#This Row],[Units Sold]])</f>
        <v>21</v>
      </c>
      <c r="L93" s="1"/>
      <c r="M93" s="11" cm="1">
        <f t="array" ref="M93">IF(ISBLANK(Table16[[#This Row],[Unit Price]]),AVERAGE(_xlfn._xlws.FILTER(Table16[Unit Price],NOT(ISBLANK(Table16[Unit Price])))),Table16[[#This Row],[Unit Price]])</f>
        <v>249.64520588235297</v>
      </c>
      <c r="N93" s="3">
        <v>55.25</v>
      </c>
      <c r="O93" s="11">
        <f>Table16[[#This Row],[Unit sold Filled]]*Table16[[#This Row],[Unit Price Filled]]</f>
        <v>5242.5493235294125</v>
      </c>
    </row>
    <row r="94" spans="1:15" x14ac:dyDescent="0.3">
      <c r="A94" s="1" t="s">
        <v>121</v>
      </c>
      <c r="B94" s="1" t="s">
        <v>48</v>
      </c>
      <c r="C94" s="3" t="str">
        <f t="shared" si="3"/>
        <v>South</v>
      </c>
      <c r="D94" s="1" t="s">
        <v>50</v>
      </c>
      <c r="E94" s="1" t="s">
        <v>23</v>
      </c>
      <c r="F94" s="3" t="str">
        <f t="shared" si="2"/>
        <v>Clothing</v>
      </c>
      <c r="G94" s="1" t="s">
        <v>24</v>
      </c>
      <c r="H94" s="1" t="s">
        <v>15</v>
      </c>
      <c r="I94" s="2">
        <v>45019</v>
      </c>
      <c r="J94" s="3">
        <v>304</v>
      </c>
      <c r="K94" s="10" cm="1">
        <f t="array" ref="K94">IF(ISBLANK(Table16[[#This Row],[Units Sold]]),AVERAGE(_xlfn._xlws.FILTER(Table16[Units Sold],NOT(ISBLANK(Table16[Units Sold])))),Table16[[#This Row],[Units Sold]])</f>
        <v>304</v>
      </c>
      <c r="L94" s="3">
        <v>77.150000000000006</v>
      </c>
      <c r="M94" s="11" cm="1">
        <f t="array" ref="M94">IF(ISBLANK(Table16[[#This Row],[Unit Price]]),AVERAGE(_xlfn._xlws.FILTER(Table16[Unit Price],NOT(ISBLANK(Table16[Unit Price])))),Table16[[#This Row],[Unit Price]])</f>
        <v>77.150000000000006</v>
      </c>
      <c r="N94" s="3">
        <v>168.6</v>
      </c>
      <c r="O94" s="11">
        <f>Table16[[#This Row],[Unit sold Filled]]*Table16[[#This Row],[Unit Price Filled]]</f>
        <v>23453.600000000002</v>
      </c>
    </row>
    <row r="95" spans="1:15" x14ac:dyDescent="0.3">
      <c r="A95" s="1" t="s">
        <v>122</v>
      </c>
      <c r="B95" s="1" t="s">
        <v>48</v>
      </c>
      <c r="C95" s="3" t="str">
        <f t="shared" si="3"/>
        <v>South</v>
      </c>
      <c r="D95" s="1" t="s">
        <v>18</v>
      </c>
      <c r="E95" s="1" t="s">
        <v>13</v>
      </c>
      <c r="F95" s="3" t="str">
        <f t="shared" si="2"/>
        <v>Beverages</v>
      </c>
      <c r="G95" s="1" t="s">
        <v>14</v>
      </c>
      <c r="H95" s="1" t="s">
        <v>20</v>
      </c>
      <c r="I95" s="2">
        <v>45020</v>
      </c>
      <c r="J95" s="3">
        <v>459</v>
      </c>
      <c r="K95" s="10" cm="1">
        <f t="array" ref="K95">IF(ISBLANK(Table16[[#This Row],[Units Sold]]),AVERAGE(_xlfn._xlws.FILTER(Table16[Units Sold],NOT(ISBLANK(Table16[Units Sold])))),Table16[[#This Row],[Units Sold]])</f>
        <v>459</v>
      </c>
      <c r="L95" s="3">
        <v>227.47</v>
      </c>
      <c r="M95" s="11" cm="1">
        <f t="array" ref="M95">IF(ISBLANK(Table16[[#This Row],[Unit Price]]),AVERAGE(_xlfn._xlws.FILTER(Table16[Unit Price],NOT(ISBLANK(Table16[Unit Price])))),Table16[[#This Row],[Unit Price]])</f>
        <v>227.47</v>
      </c>
      <c r="N95" s="3">
        <v>316.55</v>
      </c>
      <c r="O95" s="11">
        <f>Table16[[#This Row],[Unit sold Filled]]*Table16[[#This Row],[Unit Price Filled]]</f>
        <v>104408.73</v>
      </c>
    </row>
    <row r="96" spans="1:15" x14ac:dyDescent="0.3">
      <c r="A96" s="1" t="s">
        <v>123</v>
      </c>
      <c r="B96" s="1" t="s">
        <v>48</v>
      </c>
      <c r="C96" s="3" t="str">
        <f t="shared" si="3"/>
        <v>South</v>
      </c>
      <c r="D96" s="1" t="s">
        <v>31</v>
      </c>
      <c r="E96" s="1" t="s">
        <v>27</v>
      </c>
      <c r="F96" s="3" t="str">
        <f t="shared" si="2"/>
        <v>Furniture</v>
      </c>
      <c r="G96" s="1" t="s">
        <v>14</v>
      </c>
      <c r="H96" s="1" t="s">
        <v>15</v>
      </c>
      <c r="I96" s="2">
        <v>45021</v>
      </c>
      <c r="J96" s="3">
        <v>233</v>
      </c>
      <c r="K96" s="10" cm="1">
        <f t="array" ref="K96">IF(ISBLANK(Table16[[#This Row],[Units Sold]]),AVERAGE(_xlfn._xlws.FILTER(Table16[Units Sold],NOT(ISBLANK(Table16[Units Sold])))),Table16[[#This Row],[Units Sold]])</f>
        <v>233</v>
      </c>
      <c r="L96" s="3">
        <v>296</v>
      </c>
      <c r="M96" s="11" cm="1">
        <f t="array" ref="M96">IF(ISBLANK(Table16[[#This Row],[Unit Price]]),AVERAGE(_xlfn._xlws.FILTER(Table16[Unit Price],NOT(ISBLANK(Table16[Unit Price])))),Table16[[#This Row],[Unit Price]])</f>
        <v>296</v>
      </c>
      <c r="N96" s="3">
        <v>233.69</v>
      </c>
      <c r="O96" s="11">
        <f>Table16[[#This Row],[Unit sold Filled]]*Table16[[#This Row],[Unit Price Filled]]</f>
        <v>68968</v>
      </c>
    </row>
    <row r="97" spans="1:15" x14ac:dyDescent="0.3">
      <c r="A97" s="1" t="s">
        <v>124</v>
      </c>
      <c r="B97" s="1" t="s">
        <v>48</v>
      </c>
      <c r="C97" s="3" t="str">
        <f t="shared" si="3"/>
        <v>South</v>
      </c>
      <c r="D97" s="1" t="s">
        <v>26</v>
      </c>
      <c r="E97" s="1" t="s">
        <v>42</v>
      </c>
      <c r="F97" s="3" t="str">
        <f t="shared" si="2"/>
        <v>Electronics</v>
      </c>
      <c r="G97" s="1" t="s">
        <v>24</v>
      </c>
      <c r="H97" s="1" t="s">
        <v>20</v>
      </c>
      <c r="I97" s="2">
        <v>45022</v>
      </c>
      <c r="J97" s="3">
        <v>22</v>
      </c>
      <c r="K97" s="10" cm="1">
        <f t="array" ref="K97">IF(ISBLANK(Table16[[#This Row],[Units Sold]]),AVERAGE(_xlfn._xlws.FILTER(Table16[Units Sold],NOT(ISBLANK(Table16[Units Sold])))),Table16[[#This Row],[Units Sold]])</f>
        <v>22</v>
      </c>
      <c r="L97" s="3">
        <v>474.55</v>
      </c>
      <c r="M97" s="11" cm="1">
        <f t="array" ref="M97">IF(ISBLANK(Table16[[#This Row],[Unit Price]]),AVERAGE(_xlfn._xlws.FILTER(Table16[Unit Price],NOT(ISBLANK(Table16[Unit Price])))),Table16[[#This Row],[Unit Price]])</f>
        <v>474.55</v>
      </c>
      <c r="N97" s="3">
        <v>273.02999999999997</v>
      </c>
      <c r="O97" s="11">
        <f>Table16[[#This Row],[Unit sold Filled]]*Table16[[#This Row],[Unit Price Filled]]</f>
        <v>10440.1</v>
      </c>
    </row>
    <row r="98" spans="1:15" x14ac:dyDescent="0.3">
      <c r="A98" s="1" t="s">
        <v>125</v>
      </c>
      <c r="B98" s="1" t="s">
        <v>48</v>
      </c>
      <c r="C98" s="3" t="str">
        <f t="shared" si="3"/>
        <v>South</v>
      </c>
      <c r="D98" s="1" t="s">
        <v>18</v>
      </c>
      <c r="E98" s="1" t="s">
        <v>23</v>
      </c>
      <c r="F98" s="3" t="str">
        <f t="shared" si="2"/>
        <v>Clothing</v>
      </c>
      <c r="G98" s="1" t="s">
        <v>14</v>
      </c>
      <c r="H98" s="1" t="s">
        <v>28</v>
      </c>
      <c r="I98" s="2">
        <v>45023</v>
      </c>
      <c r="J98" s="3">
        <v>55</v>
      </c>
      <c r="K98" s="10" cm="1">
        <f t="array" ref="K98">IF(ISBLANK(Table16[[#This Row],[Units Sold]]),AVERAGE(_xlfn._xlws.FILTER(Table16[Units Sold],NOT(ISBLANK(Table16[Units Sold])))),Table16[[#This Row],[Units Sold]])</f>
        <v>55</v>
      </c>
      <c r="L98" s="3">
        <v>130</v>
      </c>
      <c r="M98" s="11" cm="1">
        <f t="array" ref="M98">IF(ISBLANK(Table16[[#This Row],[Unit Price]]),AVERAGE(_xlfn._xlws.FILTER(Table16[Unit Price],NOT(ISBLANK(Table16[Unit Price])))),Table16[[#This Row],[Unit Price]])</f>
        <v>130</v>
      </c>
      <c r="N98" s="3">
        <v>77.5</v>
      </c>
      <c r="O98" s="11">
        <f>Table16[[#This Row],[Unit sold Filled]]*Table16[[#This Row],[Unit Price Filled]]</f>
        <v>7150</v>
      </c>
    </row>
    <row r="99" spans="1:15" x14ac:dyDescent="0.3">
      <c r="A99" s="1" t="s">
        <v>126</v>
      </c>
      <c r="B99" s="1" t="s">
        <v>17</v>
      </c>
      <c r="C99" s="3" t="str">
        <f t="shared" si="3"/>
        <v>West</v>
      </c>
      <c r="D99" s="1" t="s">
        <v>26</v>
      </c>
      <c r="E99" s="1" t="s">
        <v>23</v>
      </c>
      <c r="F99" s="3" t="str">
        <f t="shared" si="2"/>
        <v>Clothing</v>
      </c>
      <c r="G99" s="1" t="s">
        <v>14</v>
      </c>
      <c r="H99" s="1" t="s">
        <v>15</v>
      </c>
      <c r="I99" s="2">
        <v>45024</v>
      </c>
      <c r="J99" s="3">
        <v>164</v>
      </c>
      <c r="K99" s="10" cm="1">
        <f t="array" ref="K99">IF(ISBLANK(Table16[[#This Row],[Units Sold]]),AVERAGE(_xlfn._xlws.FILTER(Table16[Units Sold],NOT(ISBLANK(Table16[Units Sold])))),Table16[[#This Row],[Units Sold]])</f>
        <v>164</v>
      </c>
      <c r="L99" s="3">
        <v>182.83</v>
      </c>
      <c r="M99" s="11" cm="1">
        <f t="array" ref="M99">IF(ISBLANK(Table16[[#This Row],[Unit Price]]),AVERAGE(_xlfn._xlws.FILTER(Table16[Unit Price],NOT(ISBLANK(Table16[Unit Price])))),Table16[[#This Row],[Unit Price]])</f>
        <v>182.83</v>
      </c>
      <c r="N99" s="3">
        <v>248.34</v>
      </c>
      <c r="O99" s="11">
        <f>Table16[[#This Row],[Unit sold Filled]]*Table16[[#This Row],[Unit Price Filled]]</f>
        <v>29984.120000000003</v>
      </c>
    </row>
    <row r="100" spans="1:15" x14ac:dyDescent="0.3">
      <c r="A100" s="1" t="s">
        <v>127</v>
      </c>
      <c r="B100" s="1" t="s">
        <v>48</v>
      </c>
      <c r="C100" s="3" t="str">
        <f t="shared" si="3"/>
        <v>South</v>
      </c>
      <c r="D100" s="1" t="s">
        <v>26</v>
      </c>
      <c r="E100" s="1" t="s">
        <v>42</v>
      </c>
      <c r="F100" s="3" t="str">
        <f t="shared" si="2"/>
        <v>Electronics</v>
      </c>
      <c r="G100" s="1" t="s">
        <v>14</v>
      </c>
      <c r="H100" s="1" t="s">
        <v>15</v>
      </c>
      <c r="I100" s="2">
        <v>45025</v>
      </c>
      <c r="J100" s="3">
        <v>122</v>
      </c>
      <c r="K100" s="10" cm="1">
        <f t="array" ref="K100">IF(ISBLANK(Table16[[#This Row],[Units Sold]]),AVERAGE(_xlfn._xlws.FILTER(Table16[Units Sold],NOT(ISBLANK(Table16[Units Sold])))),Table16[[#This Row],[Units Sold]])</f>
        <v>122</v>
      </c>
      <c r="L100" s="3">
        <v>192.78</v>
      </c>
      <c r="M100" s="11" cm="1">
        <f t="array" ref="M100">IF(ISBLANK(Table16[[#This Row],[Unit Price]]),AVERAGE(_xlfn._xlws.FILTER(Table16[Unit Price],NOT(ISBLANK(Table16[Unit Price])))),Table16[[#This Row],[Unit Price]])</f>
        <v>192.78</v>
      </c>
      <c r="N100" s="3">
        <v>130.75</v>
      </c>
      <c r="O100" s="11">
        <f>Table16[[#This Row],[Unit sold Filled]]*Table16[[#This Row],[Unit Price Filled]]</f>
        <v>23519.16</v>
      </c>
    </row>
    <row r="101" spans="1:15" x14ac:dyDescent="0.3">
      <c r="A101" s="1" t="s">
        <v>128</v>
      </c>
      <c r="B101" s="1" t="s">
        <v>22</v>
      </c>
      <c r="C101" s="3" t="str">
        <f t="shared" si="3"/>
        <v>North</v>
      </c>
      <c r="D101" s="1" t="s">
        <v>31</v>
      </c>
      <c r="E101" s="1" t="s">
        <v>13</v>
      </c>
      <c r="F101" s="3" t="str">
        <f t="shared" si="2"/>
        <v>Beverages</v>
      </c>
      <c r="G101" s="1" t="s">
        <v>24</v>
      </c>
      <c r="H101" s="1" t="s">
        <v>20</v>
      </c>
      <c r="I101" s="2">
        <v>45026</v>
      </c>
      <c r="J101" s="3">
        <v>242</v>
      </c>
      <c r="K101" s="10" cm="1">
        <f t="array" ref="K101">IF(ISBLANK(Table16[[#This Row],[Units Sold]]),AVERAGE(_xlfn._xlws.FILTER(Table16[Units Sold],NOT(ISBLANK(Table16[Units Sold])))),Table16[[#This Row],[Units Sold]])</f>
        <v>242</v>
      </c>
      <c r="L101" s="3">
        <v>304.74</v>
      </c>
      <c r="M101" s="11" cm="1">
        <f t="array" ref="M101">IF(ISBLANK(Table16[[#This Row],[Unit Price]]),AVERAGE(_xlfn._xlws.FILTER(Table16[Unit Price],NOT(ISBLANK(Table16[Unit Price])))),Table16[[#This Row],[Unit Price]])</f>
        <v>304.74</v>
      </c>
      <c r="N101" s="3">
        <v>334.05</v>
      </c>
      <c r="O101" s="11">
        <f>Table16[[#This Row],[Unit sold Filled]]*Table16[[#This Row],[Unit Price Filled]]</f>
        <v>73747.08</v>
      </c>
    </row>
    <row r="102" spans="1:15" x14ac:dyDescent="0.3">
      <c r="A102" s="1" t="s">
        <v>129</v>
      </c>
      <c r="B102" s="1" t="s">
        <v>11</v>
      </c>
      <c r="C102" s="3" t="str">
        <f t="shared" si="3"/>
        <v>East</v>
      </c>
      <c r="D102" s="1" t="s">
        <v>26</v>
      </c>
      <c r="E102" s="1" t="s">
        <v>42</v>
      </c>
      <c r="F102" s="3" t="str">
        <f t="shared" si="2"/>
        <v>Electronics</v>
      </c>
      <c r="G102" s="1" t="s">
        <v>24</v>
      </c>
      <c r="H102" s="1" t="s">
        <v>20</v>
      </c>
      <c r="I102" s="2">
        <v>45027</v>
      </c>
      <c r="J102" s="3">
        <v>26</v>
      </c>
      <c r="K102" s="10" cm="1">
        <f t="array" ref="K102">IF(ISBLANK(Table16[[#This Row],[Units Sold]]),AVERAGE(_xlfn._xlws.FILTER(Table16[Units Sold],NOT(ISBLANK(Table16[Units Sold])))),Table16[[#This Row],[Units Sold]])</f>
        <v>26</v>
      </c>
      <c r="L102" s="3">
        <v>181.58</v>
      </c>
      <c r="M102" s="11" cm="1">
        <f t="array" ref="M102">IF(ISBLANK(Table16[[#This Row],[Unit Price]]),AVERAGE(_xlfn._xlws.FILTER(Table16[Unit Price],NOT(ISBLANK(Table16[Unit Price])))),Table16[[#This Row],[Unit Price]])</f>
        <v>181.58</v>
      </c>
      <c r="N102" s="3">
        <v>252.46</v>
      </c>
      <c r="O102" s="11">
        <f>Table16[[#This Row],[Unit sold Filled]]*Table16[[#This Row],[Unit Price Filled]]</f>
        <v>4721.08</v>
      </c>
    </row>
    <row r="103" spans="1:15" x14ac:dyDescent="0.3">
      <c r="A103" s="1" t="s">
        <v>130</v>
      </c>
      <c r="B103" s="1" t="s">
        <v>48</v>
      </c>
      <c r="C103" s="3" t="str">
        <f t="shared" si="3"/>
        <v>South</v>
      </c>
      <c r="D103" s="1" t="s">
        <v>26</v>
      </c>
      <c r="E103" s="1" t="s">
        <v>27</v>
      </c>
      <c r="F103" s="3" t="str">
        <f t="shared" si="2"/>
        <v>Furniture</v>
      </c>
      <c r="G103" s="1" t="s">
        <v>14</v>
      </c>
      <c r="H103" s="1" t="s">
        <v>15</v>
      </c>
      <c r="I103" s="2">
        <v>45028</v>
      </c>
      <c r="J103" s="3">
        <v>369</v>
      </c>
      <c r="K103" s="10" cm="1">
        <f t="array" ref="K103">IF(ISBLANK(Table16[[#This Row],[Units Sold]]),AVERAGE(_xlfn._xlws.FILTER(Table16[Units Sold],NOT(ISBLANK(Table16[Units Sold])))),Table16[[#This Row],[Units Sold]])</f>
        <v>369</v>
      </c>
      <c r="L103" s="3">
        <v>269.08999999999997</v>
      </c>
      <c r="M103" s="11" cm="1">
        <f t="array" ref="M103">IF(ISBLANK(Table16[[#This Row],[Unit Price]]),AVERAGE(_xlfn._xlws.FILTER(Table16[Unit Price],NOT(ISBLANK(Table16[Unit Price])))),Table16[[#This Row],[Unit Price]])</f>
        <v>269.08999999999997</v>
      </c>
      <c r="N103" s="3">
        <v>81.14</v>
      </c>
      <c r="O103" s="11">
        <f>Table16[[#This Row],[Unit sold Filled]]*Table16[[#This Row],[Unit Price Filled]]</f>
        <v>99294.209999999992</v>
      </c>
    </row>
    <row r="104" spans="1:15" x14ac:dyDescent="0.3">
      <c r="A104" s="1" t="s">
        <v>131</v>
      </c>
      <c r="B104" s="1" t="s">
        <v>48</v>
      </c>
      <c r="C104" s="3" t="str">
        <f t="shared" si="3"/>
        <v>South</v>
      </c>
      <c r="D104" s="1" t="s">
        <v>31</v>
      </c>
      <c r="E104" s="1" t="s">
        <v>42</v>
      </c>
      <c r="F104" s="3" t="str">
        <f t="shared" si="2"/>
        <v>Electronics</v>
      </c>
      <c r="G104" s="1" t="s">
        <v>24</v>
      </c>
      <c r="H104" s="1" t="s">
        <v>20</v>
      </c>
      <c r="I104" s="2">
        <v>45029</v>
      </c>
      <c r="J104" s="3">
        <v>232</v>
      </c>
      <c r="K104" s="10" cm="1">
        <f t="array" ref="K104">IF(ISBLANK(Table16[[#This Row],[Units Sold]]),AVERAGE(_xlfn._xlws.FILTER(Table16[Units Sold],NOT(ISBLANK(Table16[Units Sold])))),Table16[[#This Row],[Units Sold]])</f>
        <v>232</v>
      </c>
      <c r="L104" s="3">
        <v>391.99</v>
      </c>
      <c r="M104" s="11" cm="1">
        <f t="array" ref="M104">IF(ISBLANK(Table16[[#This Row],[Unit Price]]),AVERAGE(_xlfn._xlws.FILTER(Table16[Unit Price],NOT(ISBLANK(Table16[Unit Price])))),Table16[[#This Row],[Unit Price]])</f>
        <v>391.99</v>
      </c>
      <c r="N104" s="3">
        <v>27.72</v>
      </c>
      <c r="O104" s="11">
        <f>Table16[[#This Row],[Unit sold Filled]]*Table16[[#This Row],[Unit Price Filled]]</f>
        <v>90941.680000000008</v>
      </c>
    </row>
    <row r="105" spans="1:15" x14ac:dyDescent="0.3">
      <c r="A105" s="1" t="s">
        <v>132</v>
      </c>
      <c r="B105" s="1" t="s">
        <v>17</v>
      </c>
      <c r="C105" s="3" t="str">
        <f t="shared" si="3"/>
        <v>West</v>
      </c>
      <c r="D105" s="1" t="s">
        <v>26</v>
      </c>
      <c r="E105" s="1" t="s">
        <v>23</v>
      </c>
      <c r="F105" s="3" t="str">
        <f t="shared" si="2"/>
        <v>Clothing</v>
      </c>
      <c r="G105" s="1" t="s">
        <v>14</v>
      </c>
      <c r="H105" s="1" t="s">
        <v>20</v>
      </c>
      <c r="I105" s="2">
        <v>45030</v>
      </c>
      <c r="J105" s="3">
        <v>363</v>
      </c>
      <c r="K105" s="10" cm="1">
        <f t="array" ref="K105">IF(ISBLANK(Table16[[#This Row],[Units Sold]]),AVERAGE(_xlfn._xlws.FILTER(Table16[Units Sold],NOT(ISBLANK(Table16[Units Sold])))),Table16[[#This Row],[Units Sold]])</f>
        <v>363</v>
      </c>
      <c r="L105" s="3">
        <v>354.17</v>
      </c>
      <c r="M105" s="11" cm="1">
        <f t="array" ref="M105">IF(ISBLANK(Table16[[#This Row],[Unit Price]]),AVERAGE(_xlfn._xlws.FILTER(Table16[Unit Price],NOT(ISBLANK(Table16[Unit Price])))),Table16[[#This Row],[Unit Price]])</f>
        <v>354.17</v>
      </c>
      <c r="N105" s="3">
        <v>18.97</v>
      </c>
      <c r="O105" s="11">
        <f>Table16[[#This Row],[Unit sold Filled]]*Table16[[#This Row],[Unit Price Filled]]</f>
        <v>128563.71</v>
      </c>
    </row>
    <row r="106" spans="1:15" x14ac:dyDescent="0.3">
      <c r="A106" s="1" t="s">
        <v>133</v>
      </c>
      <c r="B106" s="1" t="s">
        <v>48</v>
      </c>
      <c r="C106" s="3" t="str">
        <f t="shared" si="3"/>
        <v>South</v>
      </c>
      <c r="D106" s="1" t="s">
        <v>26</v>
      </c>
      <c r="E106" s="1" t="s">
        <v>42</v>
      </c>
      <c r="F106" s="3" t="str">
        <f t="shared" si="2"/>
        <v>Electronics</v>
      </c>
      <c r="G106" s="1" t="s">
        <v>14</v>
      </c>
      <c r="H106" s="1" t="s">
        <v>20</v>
      </c>
      <c r="I106" s="2">
        <v>45031</v>
      </c>
      <c r="J106" s="3">
        <v>197</v>
      </c>
      <c r="K106" s="10" cm="1">
        <f t="array" ref="K106">IF(ISBLANK(Table16[[#This Row],[Units Sold]]),AVERAGE(_xlfn._xlws.FILTER(Table16[Units Sold],NOT(ISBLANK(Table16[Units Sold])))),Table16[[#This Row],[Units Sold]])</f>
        <v>197</v>
      </c>
      <c r="L106" s="3">
        <v>225.95</v>
      </c>
      <c r="M106" s="11" cm="1">
        <f t="array" ref="M106">IF(ISBLANK(Table16[[#This Row],[Unit Price]]),AVERAGE(_xlfn._xlws.FILTER(Table16[Unit Price],NOT(ISBLANK(Table16[Unit Price])))),Table16[[#This Row],[Unit Price]])</f>
        <v>225.95</v>
      </c>
      <c r="N106" s="3">
        <v>149.82</v>
      </c>
      <c r="O106" s="11">
        <f>Table16[[#This Row],[Unit sold Filled]]*Table16[[#This Row],[Unit Price Filled]]</f>
        <v>44512.149999999994</v>
      </c>
    </row>
    <row r="107" spans="1:15" x14ac:dyDescent="0.3">
      <c r="A107" s="1" t="s">
        <v>134</v>
      </c>
      <c r="B107" s="1" t="s">
        <v>48</v>
      </c>
      <c r="C107" s="3" t="str">
        <f t="shared" si="3"/>
        <v>South</v>
      </c>
      <c r="D107" s="1" t="s">
        <v>26</v>
      </c>
      <c r="E107" s="1" t="s">
        <v>13</v>
      </c>
      <c r="F107" s="3" t="str">
        <f t="shared" si="2"/>
        <v>Beverages</v>
      </c>
      <c r="G107" s="1" t="s">
        <v>14</v>
      </c>
      <c r="H107" s="1" t="s">
        <v>28</v>
      </c>
      <c r="I107" s="2">
        <v>45032</v>
      </c>
      <c r="J107" s="3">
        <v>457</v>
      </c>
      <c r="K107" s="10" cm="1">
        <f t="array" ref="K107">IF(ISBLANK(Table16[[#This Row],[Units Sold]]),AVERAGE(_xlfn._xlws.FILTER(Table16[Units Sold],NOT(ISBLANK(Table16[Units Sold])))),Table16[[#This Row],[Units Sold]])</f>
        <v>457</v>
      </c>
      <c r="L107" s="3">
        <v>432.79</v>
      </c>
      <c r="M107" s="11" cm="1">
        <f t="array" ref="M107">IF(ISBLANK(Table16[[#This Row],[Unit Price]]),AVERAGE(_xlfn._xlws.FILTER(Table16[Unit Price],NOT(ISBLANK(Table16[Unit Price])))),Table16[[#This Row],[Unit Price]])</f>
        <v>432.79</v>
      </c>
      <c r="N107" s="3">
        <v>107.81</v>
      </c>
      <c r="O107" s="11">
        <f>Table16[[#This Row],[Unit sold Filled]]*Table16[[#This Row],[Unit Price Filled]]</f>
        <v>197785.03</v>
      </c>
    </row>
    <row r="108" spans="1:15" x14ac:dyDescent="0.3">
      <c r="A108" s="1" t="s">
        <v>135</v>
      </c>
      <c r="B108" s="1" t="s">
        <v>48</v>
      </c>
      <c r="C108" s="3" t="str">
        <f t="shared" si="3"/>
        <v>South</v>
      </c>
      <c r="D108" s="1" t="s">
        <v>18</v>
      </c>
      <c r="E108" s="1" t="s">
        <v>19</v>
      </c>
      <c r="F108" s="3" t="str">
        <f t="shared" si="2"/>
        <v>Food</v>
      </c>
      <c r="G108" s="1" t="s">
        <v>14</v>
      </c>
      <c r="H108" s="1" t="s">
        <v>28</v>
      </c>
      <c r="I108" s="2">
        <v>45033</v>
      </c>
      <c r="J108" s="3">
        <v>353</v>
      </c>
      <c r="K108" s="10" cm="1">
        <f t="array" ref="K108">IF(ISBLANK(Table16[[#This Row],[Units Sold]]),AVERAGE(_xlfn._xlws.FILTER(Table16[Units Sold],NOT(ISBLANK(Table16[Units Sold])))),Table16[[#This Row],[Units Sold]])</f>
        <v>353</v>
      </c>
      <c r="L108" s="3">
        <v>281.27999999999997</v>
      </c>
      <c r="M108" s="11" cm="1">
        <f t="array" ref="M108">IF(ISBLANK(Table16[[#This Row],[Unit Price]]),AVERAGE(_xlfn._xlws.FILTER(Table16[Unit Price],NOT(ISBLANK(Table16[Unit Price])))),Table16[[#This Row],[Unit Price]])</f>
        <v>281.27999999999997</v>
      </c>
      <c r="N108" s="3">
        <v>259.14</v>
      </c>
      <c r="O108" s="11">
        <f>Table16[[#This Row],[Unit sold Filled]]*Table16[[#This Row],[Unit Price Filled]]</f>
        <v>99291.839999999997</v>
      </c>
    </row>
    <row r="109" spans="1:15" x14ac:dyDescent="0.3">
      <c r="A109" s="1" t="s">
        <v>136</v>
      </c>
      <c r="B109" s="1" t="s">
        <v>17</v>
      </c>
      <c r="C109" s="3" t="str">
        <f t="shared" si="3"/>
        <v>West</v>
      </c>
      <c r="D109" s="1" t="s">
        <v>18</v>
      </c>
      <c r="E109" s="1" t="s">
        <v>42</v>
      </c>
      <c r="F109" s="3" t="str">
        <f t="shared" si="2"/>
        <v>Electronics</v>
      </c>
      <c r="G109" s="1" t="s">
        <v>24</v>
      </c>
      <c r="H109" s="1" t="s">
        <v>20</v>
      </c>
      <c r="I109" s="2">
        <v>45034</v>
      </c>
      <c r="J109" s="3">
        <v>374</v>
      </c>
      <c r="K109" s="10" cm="1">
        <f t="array" ref="K109">IF(ISBLANK(Table16[[#This Row],[Units Sold]]),AVERAGE(_xlfn._xlws.FILTER(Table16[Units Sold],NOT(ISBLANK(Table16[Units Sold])))),Table16[[#This Row],[Units Sold]])</f>
        <v>374</v>
      </c>
      <c r="L109" s="3">
        <v>272.25</v>
      </c>
      <c r="M109" s="11" cm="1">
        <f t="array" ref="M109">IF(ISBLANK(Table16[[#This Row],[Unit Price]]),AVERAGE(_xlfn._xlws.FILTER(Table16[Unit Price],NOT(ISBLANK(Table16[Unit Price])))),Table16[[#This Row],[Unit Price]])</f>
        <v>272.25</v>
      </c>
      <c r="N109" s="3">
        <v>200.73</v>
      </c>
      <c r="O109" s="11">
        <f>Table16[[#This Row],[Unit sold Filled]]*Table16[[#This Row],[Unit Price Filled]]</f>
        <v>101821.5</v>
      </c>
    </row>
    <row r="110" spans="1:15" x14ac:dyDescent="0.3">
      <c r="A110" s="1" t="s">
        <v>137</v>
      </c>
      <c r="B110" s="1" t="s">
        <v>48</v>
      </c>
      <c r="C110" s="3" t="str">
        <f t="shared" si="3"/>
        <v>South</v>
      </c>
      <c r="D110" s="1" t="s">
        <v>18</v>
      </c>
      <c r="E110" s="1" t="s">
        <v>13</v>
      </c>
      <c r="F110" s="3" t="str">
        <f t="shared" si="2"/>
        <v>Beverages</v>
      </c>
      <c r="G110" s="1" t="s">
        <v>24</v>
      </c>
      <c r="H110" s="1" t="s">
        <v>20</v>
      </c>
      <c r="I110" s="2">
        <v>45035</v>
      </c>
      <c r="J110" s="3">
        <v>172</v>
      </c>
      <c r="K110" s="10" cm="1">
        <f t="array" ref="K110">IF(ISBLANK(Table16[[#This Row],[Units Sold]]),AVERAGE(_xlfn._xlws.FILTER(Table16[Units Sold],NOT(ISBLANK(Table16[Units Sold])))),Table16[[#This Row],[Units Sold]])</f>
        <v>172</v>
      </c>
      <c r="L110" s="3">
        <v>21.92</v>
      </c>
      <c r="M110" s="11" cm="1">
        <f t="array" ref="M110">IF(ISBLANK(Table16[[#This Row],[Unit Price]]),AVERAGE(_xlfn._xlws.FILTER(Table16[Unit Price],NOT(ISBLANK(Table16[Unit Price])))),Table16[[#This Row],[Unit Price]])</f>
        <v>21.92</v>
      </c>
      <c r="N110" s="3">
        <v>107.88</v>
      </c>
      <c r="O110" s="11">
        <f>Table16[[#This Row],[Unit sold Filled]]*Table16[[#This Row],[Unit Price Filled]]</f>
        <v>3770.2400000000002</v>
      </c>
    </row>
    <row r="111" spans="1:15" x14ac:dyDescent="0.3">
      <c r="A111" s="1" t="s">
        <v>138</v>
      </c>
      <c r="B111" s="1" t="s">
        <v>11</v>
      </c>
      <c r="C111" s="3" t="str">
        <f t="shared" si="3"/>
        <v>East</v>
      </c>
      <c r="D111" s="1" t="s">
        <v>31</v>
      </c>
      <c r="E111" s="1" t="s">
        <v>13</v>
      </c>
      <c r="F111" s="3" t="str">
        <f t="shared" si="2"/>
        <v>Beverages</v>
      </c>
      <c r="G111" s="1" t="s">
        <v>24</v>
      </c>
      <c r="H111" s="1" t="s">
        <v>28</v>
      </c>
      <c r="I111" s="2">
        <v>45036</v>
      </c>
      <c r="J111" s="3">
        <v>335</v>
      </c>
      <c r="K111" s="10" cm="1">
        <f t="array" ref="K111">IF(ISBLANK(Table16[[#This Row],[Units Sold]]),AVERAGE(_xlfn._xlws.FILTER(Table16[Units Sold],NOT(ISBLANK(Table16[Units Sold])))),Table16[[#This Row],[Units Sold]])</f>
        <v>335</v>
      </c>
      <c r="L111" s="3">
        <v>493.41</v>
      </c>
      <c r="M111" s="11" cm="1">
        <f t="array" ref="M111">IF(ISBLANK(Table16[[#This Row],[Unit Price]]),AVERAGE(_xlfn._xlws.FILTER(Table16[Unit Price],NOT(ISBLANK(Table16[Unit Price])))),Table16[[#This Row],[Unit Price]])</f>
        <v>493.41</v>
      </c>
      <c r="N111" s="3">
        <v>61.4</v>
      </c>
      <c r="O111" s="11">
        <f>Table16[[#This Row],[Unit sold Filled]]*Table16[[#This Row],[Unit Price Filled]]</f>
        <v>165292.35</v>
      </c>
    </row>
    <row r="112" spans="1:15" x14ac:dyDescent="0.3">
      <c r="A112" s="1" t="s">
        <v>139</v>
      </c>
      <c r="B112" s="1" t="s">
        <v>17</v>
      </c>
      <c r="C112" s="3" t="str">
        <f t="shared" si="3"/>
        <v>West</v>
      </c>
      <c r="D112" s="1" t="s">
        <v>50</v>
      </c>
      <c r="E112" s="1" t="s">
        <v>23</v>
      </c>
      <c r="F112" s="3" t="str">
        <f t="shared" si="2"/>
        <v>Clothing</v>
      </c>
      <c r="G112" s="1" t="s">
        <v>14</v>
      </c>
      <c r="H112" s="1" t="s">
        <v>28</v>
      </c>
      <c r="I112" s="2">
        <v>45037</v>
      </c>
      <c r="J112" s="3">
        <v>476</v>
      </c>
      <c r="K112" s="10" cm="1">
        <f t="array" ref="K112">IF(ISBLANK(Table16[[#This Row],[Units Sold]]),AVERAGE(_xlfn._xlws.FILTER(Table16[Units Sold],NOT(ISBLANK(Table16[Units Sold])))),Table16[[#This Row],[Units Sold]])</f>
        <v>476</v>
      </c>
      <c r="L112" s="3">
        <v>65.87</v>
      </c>
      <c r="M112" s="11" cm="1">
        <f t="array" ref="M112">IF(ISBLANK(Table16[[#This Row],[Unit Price]]),AVERAGE(_xlfn._xlws.FILTER(Table16[Unit Price],NOT(ISBLANK(Table16[Unit Price])))),Table16[[#This Row],[Unit Price]])</f>
        <v>65.87</v>
      </c>
      <c r="N112" s="3">
        <v>52.63</v>
      </c>
      <c r="O112" s="11">
        <f>Table16[[#This Row],[Unit sold Filled]]*Table16[[#This Row],[Unit Price Filled]]</f>
        <v>31354.120000000003</v>
      </c>
    </row>
    <row r="113" spans="1:15" x14ac:dyDescent="0.3">
      <c r="A113" s="1" t="s">
        <v>140</v>
      </c>
      <c r="B113" s="1" t="s">
        <v>11</v>
      </c>
      <c r="C113" s="3" t="str">
        <f t="shared" si="3"/>
        <v>East</v>
      </c>
      <c r="D113" s="1" t="s">
        <v>26</v>
      </c>
      <c r="E113" s="1" t="s">
        <v>13</v>
      </c>
      <c r="F113" s="3" t="str">
        <f t="shared" si="2"/>
        <v>Beverages</v>
      </c>
      <c r="G113" s="1" t="s">
        <v>14</v>
      </c>
      <c r="H113" s="1" t="s">
        <v>15</v>
      </c>
      <c r="I113" s="2">
        <v>45038</v>
      </c>
      <c r="J113" s="3">
        <v>423</v>
      </c>
      <c r="K113" s="10" cm="1">
        <f t="array" ref="K113">IF(ISBLANK(Table16[[#This Row],[Units Sold]]),AVERAGE(_xlfn._xlws.FILTER(Table16[Units Sold],NOT(ISBLANK(Table16[Units Sold])))),Table16[[#This Row],[Units Sold]])</f>
        <v>423</v>
      </c>
      <c r="L113" s="3">
        <v>119.41</v>
      </c>
      <c r="M113" s="11" cm="1">
        <f t="array" ref="M113">IF(ISBLANK(Table16[[#This Row],[Unit Price]]),AVERAGE(_xlfn._xlws.FILTER(Table16[Unit Price],NOT(ISBLANK(Table16[Unit Price])))),Table16[[#This Row],[Unit Price]])</f>
        <v>119.41</v>
      </c>
      <c r="N113" s="3">
        <v>346.13</v>
      </c>
      <c r="O113" s="11">
        <f>Table16[[#This Row],[Unit sold Filled]]*Table16[[#This Row],[Unit Price Filled]]</f>
        <v>50510.43</v>
      </c>
    </row>
    <row r="114" spans="1:15" x14ac:dyDescent="0.3">
      <c r="A114" s="1" t="s">
        <v>141</v>
      </c>
      <c r="B114" s="1" t="s">
        <v>17</v>
      </c>
      <c r="C114" s="3" t="str">
        <f t="shared" si="3"/>
        <v>West</v>
      </c>
      <c r="D114" s="1" t="s">
        <v>26</v>
      </c>
      <c r="E114" s="1" t="s">
        <v>13</v>
      </c>
      <c r="F114" s="3" t="str">
        <f t="shared" si="2"/>
        <v>Beverages</v>
      </c>
      <c r="G114" s="1" t="s">
        <v>14</v>
      </c>
      <c r="H114" s="1" t="s">
        <v>15</v>
      </c>
      <c r="I114" s="2">
        <v>45039</v>
      </c>
      <c r="J114" s="3">
        <v>464</v>
      </c>
      <c r="K114" s="10" cm="1">
        <f t="array" ref="K114">IF(ISBLANK(Table16[[#This Row],[Units Sold]]),AVERAGE(_xlfn._xlws.FILTER(Table16[Units Sold],NOT(ISBLANK(Table16[Units Sold])))),Table16[[#This Row],[Units Sold]])</f>
        <v>464</v>
      </c>
      <c r="L114" s="3">
        <v>30.59</v>
      </c>
      <c r="M114" s="11" cm="1">
        <f t="array" ref="M114">IF(ISBLANK(Table16[[#This Row],[Unit Price]]),AVERAGE(_xlfn._xlws.FILTER(Table16[Unit Price],NOT(ISBLANK(Table16[Unit Price])))),Table16[[#This Row],[Unit Price]])</f>
        <v>30.59</v>
      </c>
      <c r="N114" s="3">
        <v>98.9</v>
      </c>
      <c r="O114" s="11">
        <f>Table16[[#This Row],[Unit sold Filled]]*Table16[[#This Row],[Unit Price Filled]]</f>
        <v>14193.76</v>
      </c>
    </row>
    <row r="115" spans="1:15" x14ac:dyDescent="0.3">
      <c r="A115" s="1" t="s">
        <v>142</v>
      </c>
      <c r="B115" s="1" t="s">
        <v>48</v>
      </c>
      <c r="C115" s="3" t="str">
        <f t="shared" si="3"/>
        <v>South</v>
      </c>
      <c r="D115" s="1" t="s">
        <v>31</v>
      </c>
      <c r="E115" s="1" t="s">
        <v>13</v>
      </c>
      <c r="F115" s="3" t="str">
        <f t="shared" si="2"/>
        <v>Beverages</v>
      </c>
      <c r="G115" s="1" t="s">
        <v>24</v>
      </c>
      <c r="H115" s="1" t="s">
        <v>28</v>
      </c>
      <c r="I115" s="2">
        <v>45040</v>
      </c>
      <c r="J115" s="3">
        <v>83</v>
      </c>
      <c r="K115" s="10" cm="1">
        <f t="array" ref="K115">IF(ISBLANK(Table16[[#This Row],[Units Sold]]),AVERAGE(_xlfn._xlws.FILTER(Table16[Units Sold],NOT(ISBLANK(Table16[Units Sold])))),Table16[[#This Row],[Units Sold]])</f>
        <v>83</v>
      </c>
      <c r="L115" s="3">
        <v>321.8</v>
      </c>
      <c r="M115" s="11" cm="1">
        <f t="array" ref="M115">IF(ISBLANK(Table16[[#This Row],[Unit Price]]),AVERAGE(_xlfn._xlws.FILTER(Table16[Unit Price],NOT(ISBLANK(Table16[Unit Price])))),Table16[[#This Row],[Unit Price]])</f>
        <v>321.8</v>
      </c>
      <c r="N115" s="3">
        <v>261.38</v>
      </c>
      <c r="O115" s="11">
        <f>Table16[[#This Row],[Unit sold Filled]]*Table16[[#This Row],[Unit Price Filled]]</f>
        <v>26709.4</v>
      </c>
    </row>
    <row r="116" spans="1:15" x14ac:dyDescent="0.3">
      <c r="A116" s="1" t="s">
        <v>143</v>
      </c>
      <c r="B116" s="1" t="s">
        <v>11</v>
      </c>
      <c r="C116" s="3" t="str">
        <f t="shared" si="3"/>
        <v>East</v>
      </c>
      <c r="D116" s="1" t="s">
        <v>26</v>
      </c>
      <c r="E116" s="1" t="s">
        <v>13</v>
      </c>
      <c r="F116" s="3" t="str">
        <f t="shared" si="2"/>
        <v>Beverages</v>
      </c>
      <c r="G116" s="1" t="s">
        <v>14</v>
      </c>
      <c r="H116" s="1" t="s">
        <v>20</v>
      </c>
      <c r="I116" s="2">
        <v>45041</v>
      </c>
      <c r="J116" s="3">
        <v>242</v>
      </c>
      <c r="K116" s="10" cm="1">
        <f t="array" ref="K116">IF(ISBLANK(Table16[[#This Row],[Units Sold]]),AVERAGE(_xlfn._xlws.FILTER(Table16[Units Sold],NOT(ISBLANK(Table16[Units Sold])))),Table16[[#This Row],[Units Sold]])</f>
        <v>242</v>
      </c>
      <c r="L116" s="3">
        <v>116.23</v>
      </c>
      <c r="M116" s="11" cm="1">
        <f t="array" ref="M116">IF(ISBLANK(Table16[[#This Row],[Unit Price]]),AVERAGE(_xlfn._xlws.FILTER(Table16[Unit Price],NOT(ISBLANK(Table16[Unit Price])))),Table16[[#This Row],[Unit Price]])</f>
        <v>116.23</v>
      </c>
      <c r="N116" s="3">
        <v>324.64999999999998</v>
      </c>
      <c r="O116" s="11">
        <f>Table16[[#This Row],[Unit sold Filled]]*Table16[[#This Row],[Unit Price Filled]]</f>
        <v>28127.66</v>
      </c>
    </row>
    <row r="117" spans="1:15" x14ac:dyDescent="0.3">
      <c r="A117" s="1" t="s">
        <v>144</v>
      </c>
      <c r="B117" s="1" t="s">
        <v>17</v>
      </c>
      <c r="C117" s="3" t="str">
        <f t="shared" si="3"/>
        <v>West</v>
      </c>
      <c r="D117" s="1" t="s">
        <v>18</v>
      </c>
      <c r="E117" s="1" t="s">
        <v>27</v>
      </c>
      <c r="F117" s="3" t="str">
        <f t="shared" si="2"/>
        <v>Furniture</v>
      </c>
      <c r="G117" s="1" t="s">
        <v>24</v>
      </c>
      <c r="H117" s="1" t="s">
        <v>20</v>
      </c>
      <c r="I117" s="2">
        <v>45042</v>
      </c>
      <c r="J117" s="3">
        <v>233</v>
      </c>
      <c r="K117" s="10" cm="1">
        <f t="array" ref="K117">IF(ISBLANK(Table16[[#This Row],[Units Sold]]),AVERAGE(_xlfn._xlws.FILTER(Table16[Units Sold],NOT(ISBLANK(Table16[Units Sold])))),Table16[[#This Row],[Units Sold]])</f>
        <v>233</v>
      </c>
      <c r="L117" s="3">
        <v>94.11</v>
      </c>
      <c r="M117" s="11" cm="1">
        <f t="array" ref="M117">IF(ISBLANK(Table16[[#This Row],[Unit Price]]),AVERAGE(_xlfn._xlws.FILTER(Table16[Unit Price],NOT(ISBLANK(Table16[Unit Price])))),Table16[[#This Row],[Unit Price]])</f>
        <v>94.11</v>
      </c>
      <c r="N117" s="3">
        <v>246.4</v>
      </c>
      <c r="O117" s="11">
        <f>Table16[[#This Row],[Unit sold Filled]]*Table16[[#This Row],[Unit Price Filled]]</f>
        <v>21927.63</v>
      </c>
    </row>
    <row r="118" spans="1:15" x14ac:dyDescent="0.3">
      <c r="A118" s="1" t="s">
        <v>145</v>
      </c>
      <c r="B118" s="1" t="s">
        <v>22</v>
      </c>
      <c r="C118" s="3" t="str">
        <f t="shared" si="3"/>
        <v>North</v>
      </c>
      <c r="D118" s="1" t="s">
        <v>50</v>
      </c>
      <c r="E118" s="1" t="s">
        <v>27</v>
      </c>
      <c r="F118" s="3" t="str">
        <f t="shared" si="2"/>
        <v>Furniture</v>
      </c>
      <c r="G118" s="1" t="s">
        <v>24</v>
      </c>
      <c r="H118" s="1" t="s">
        <v>20</v>
      </c>
      <c r="I118" s="2">
        <v>45043</v>
      </c>
      <c r="J118" s="3">
        <v>491</v>
      </c>
      <c r="K118" s="10" cm="1">
        <f t="array" ref="K118">IF(ISBLANK(Table16[[#This Row],[Units Sold]]),AVERAGE(_xlfn._xlws.FILTER(Table16[Units Sold],NOT(ISBLANK(Table16[Units Sold])))),Table16[[#This Row],[Units Sold]])</f>
        <v>491</v>
      </c>
      <c r="L118" s="3">
        <v>48.84</v>
      </c>
      <c r="M118" s="11" cm="1">
        <f t="array" ref="M118">IF(ISBLANK(Table16[[#This Row],[Unit Price]]),AVERAGE(_xlfn._xlws.FILTER(Table16[Unit Price],NOT(ISBLANK(Table16[Unit Price])))),Table16[[#This Row],[Unit Price]])</f>
        <v>48.84</v>
      </c>
      <c r="N118" s="3">
        <v>344.11</v>
      </c>
      <c r="O118" s="11">
        <f>Table16[[#This Row],[Unit sold Filled]]*Table16[[#This Row],[Unit Price Filled]]</f>
        <v>23980.440000000002</v>
      </c>
    </row>
    <row r="119" spans="1:15" x14ac:dyDescent="0.3">
      <c r="A119" s="1" t="s">
        <v>146</v>
      </c>
      <c r="B119" s="1"/>
      <c r="C119" s="3" t="str">
        <f t="shared" si="3"/>
        <v>West</v>
      </c>
      <c r="D119" s="1" t="s">
        <v>12</v>
      </c>
      <c r="E119" s="1" t="s">
        <v>23</v>
      </c>
      <c r="F119" s="3" t="str">
        <f t="shared" si="2"/>
        <v>Clothing</v>
      </c>
      <c r="G119" s="1" t="s">
        <v>24</v>
      </c>
      <c r="H119" s="1" t="s">
        <v>20</v>
      </c>
      <c r="I119" s="2">
        <v>45044</v>
      </c>
      <c r="J119" s="3">
        <v>328</v>
      </c>
      <c r="K119" s="10" cm="1">
        <f t="array" ref="K119">IF(ISBLANK(Table16[[#This Row],[Units Sold]]),AVERAGE(_xlfn._xlws.FILTER(Table16[Units Sold],NOT(ISBLANK(Table16[Units Sold])))),Table16[[#This Row],[Units Sold]])</f>
        <v>328</v>
      </c>
      <c r="L119" s="3">
        <v>56.14</v>
      </c>
      <c r="M119" s="11" cm="1">
        <f t="array" ref="M119">IF(ISBLANK(Table16[[#This Row],[Unit Price]]),AVERAGE(_xlfn._xlws.FILTER(Table16[Unit Price],NOT(ISBLANK(Table16[Unit Price])))),Table16[[#This Row],[Unit Price]])</f>
        <v>56.14</v>
      </c>
      <c r="N119" s="3">
        <v>158.16999999999999</v>
      </c>
      <c r="O119" s="11">
        <f>Table16[[#This Row],[Unit sold Filled]]*Table16[[#This Row],[Unit Price Filled]]</f>
        <v>18413.920000000002</v>
      </c>
    </row>
    <row r="120" spans="1:15" x14ac:dyDescent="0.3">
      <c r="A120" s="1" t="s">
        <v>147</v>
      </c>
      <c r="B120" s="1" t="s">
        <v>17</v>
      </c>
      <c r="C120" s="3" t="str">
        <f t="shared" si="3"/>
        <v>West</v>
      </c>
      <c r="D120" s="1" t="s">
        <v>26</v>
      </c>
      <c r="E120" s="1" t="s">
        <v>42</v>
      </c>
      <c r="F120" s="3" t="str">
        <f t="shared" si="2"/>
        <v>Electronics</v>
      </c>
      <c r="G120" s="1" t="s">
        <v>24</v>
      </c>
      <c r="H120" s="1" t="s">
        <v>15</v>
      </c>
      <c r="I120" s="2">
        <v>45045</v>
      </c>
      <c r="J120" s="3">
        <v>421</v>
      </c>
      <c r="K120" s="10" cm="1">
        <f t="array" ref="K120">IF(ISBLANK(Table16[[#This Row],[Units Sold]]),AVERAGE(_xlfn._xlws.FILTER(Table16[Units Sold],NOT(ISBLANK(Table16[Units Sold])))),Table16[[#This Row],[Units Sold]])</f>
        <v>421</v>
      </c>
      <c r="L120" s="3">
        <v>294.41000000000003</v>
      </c>
      <c r="M120" s="11" cm="1">
        <f t="array" ref="M120">IF(ISBLANK(Table16[[#This Row],[Unit Price]]),AVERAGE(_xlfn._xlws.FILTER(Table16[Unit Price],NOT(ISBLANK(Table16[Unit Price])))),Table16[[#This Row],[Unit Price]])</f>
        <v>294.41000000000003</v>
      </c>
      <c r="N120" s="3">
        <v>382.58</v>
      </c>
      <c r="O120" s="11">
        <f>Table16[[#This Row],[Unit sold Filled]]*Table16[[#This Row],[Unit Price Filled]]</f>
        <v>123946.61000000002</v>
      </c>
    </row>
    <row r="121" spans="1:15" x14ac:dyDescent="0.3">
      <c r="A121" s="1" t="s">
        <v>148</v>
      </c>
      <c r="B121" s="1" t="s">
        <v>22</v>
      </c>
      <c r="C121" s="3" t="str">
        <f t="shared" si="3"/>
        <v>North</v>
      </c>
      <c r="D121" s="1" t="s">
        <v>18</v>
      </c>
      <c r="E121" s="1" t="s">
        <v>13</v>
      </c>
      <c r="F121" s="3" t="str">
        <f t="shared" si="2"/>
        <v>Beverages</v>
      </c>
      <c r="G121" s="1" t="s">
        <v>24</v>
      </c>
      <c r="H121" s="1" t="s">
        <v>28</v>
      </c>
      <c r="I121" s="2">
        <v>45046</v>
      </c>
      <c r="J121" s="3">
        <v>69</v>
      </c>
      <c r="K121" s="10" cm="1">
        <f t="array" ref="K121">IF(ISBLANK(Table16[[#This Row],[Units Sold]]),AVERAGE(_xlfn._xlws.FILTER(Table16[Units Sold],NOT(ISBLANK(Table16[Units Sold])))),Table16[[#This Row],[Units Sold]])</f>
        <v>69</v>
      </c>
      <c r="L121" s="3">
        <v>345.66</v>
      </c>
      <c r="M121" s="11" cm="1">
        <f t="array" ref="M121">IF(ISBLANK(Table16[[#This Row],[Unit Price]]),AVERAGE(_xlfn._xlws.FILTER(Table16[Unit Price],NOT(ISBLANK(Table16[Unit Price])))),Table16[[#This Row],[Unit Price]])</f>
        <v>345.66</v>
      </c>
      <c r="N121" s="3">
        <v>54.99</v>
      </c>
      <c r="O121" s="11">
        <f>Table16[[#This Row],[Unit sold Filled]]*Table16[[#This Row],[Unit Price Filled]]</f>
        <v>23850.54</v>
      </c>
    </row>
    <row r="122" spans="1:15" x14ac:dyDescent="0.3">
      <c r="A122" s="1" t="s">
        <v>149</v>
      </c>
      <c r="B122" s="1" t="s">
        <v>17</v>
      </c>
      <c r="C122" s="3" t="str">
        <f t="shared" si="3"/>
        <v>West</v>
      </c>
      <c r="D122" s="1" t="s">
        <v>12</v>
      </c>
      <c r="E122" s="1" t="s">
        <v>42</v>
      </c>
      <c r="F122" s="3" t="str">
        <f t="shared" si="2"/>
        <v>Electronics</v>
      </c>
      <c r="G122" s="1" t="s">
        <v>24</v>
      </c>
      <c r="H122" s="1" t="s">
        <v>20</v>
      </c>
      <c r="I122" s="2">
        <v>45047</v>
      </c>
      <c r="J122" s="3">
        <v>344</v>
      </c>
      <c r="K122" s="10" cm="1">
        <f t="array" ref="K122">IF(ISBLANK(Table16[[#This Row],[Units Sold]]),AVERAGE(_xlfn._xlws.FILTER(Table16[Units Sold],NOT(ISBLANK(Table16[Units Sold])))),Table16[[#This Row],[Units Sold]])</f>
        <v>344</v>
      </c>
      <c r="L122" s="3">
        <v>201.7</v>
      </c>
      <c r="M122" s="11" cm="1">
        <f t="array" ref="M122">IF(ISBLANK(Table16[[#This Row],[Unit Price]]),AVERAGE(_xlfn._xlws.FILTER(Table16[Unit Price],NOT(ISBLANK(Table16[Unit Price])))),Table16[[#This Row],[Unit Price]])</f>
        <v>201.7</v>
      </c>
      <c r="N122" s="3">
        <v>42.66</v>
      </c>
      <c r="O122" s="11">
        <f>Table16[[#This Row],[Unit sold Filled]]*Table16[[#This Row],[Unit Price Filled]]</f>
        <v>69384.800000000003</v>
      </c>
    </row>
    <row r="123" spans="1:15" x14ac:dyDescent="0.3">
      <c r="A123" s="1" t="s">
        <v>150</v>
      </c>
      <c r="B123" s="1"/>
      <c r="C123" s="3" t="str">
        <f t="shared" si="3"/>
        <v>West</v>
      </c>
      <c r="D123" s="1" t="s">
        <v>50</v>
      </c>
      <c r="E123" s="1" t="s">
        <v>42</v>
      </c>
      <c r="F123" s="3" t="str">
        <f t="shared" si="2"/>
        <v>Electronics</v>
      </c>
      <c r="G123" s="1" t="s">
        <v>14</v>
      </c>
      <c r="H123" s="1" t="s">
        <v>15</v>
      </c>
      <c r="I123" s="2">
        <v>45048</v>
      </c>
      <c r="J123" s="3">
        <v>231</v>
      </c>
      <c r="K123" s="10" cm="1">
        <f t="array" ref="K123">IF(ISBLANK(Table16[[#This Row],[Units Sold]]),AVERAGE(_xlfn._xlws.FILTER(Table16[Units Sold],NOT(ISBLANK(Table16[Units Sold])))),Table16[[#This Row],[Units Sold]])</f>
        <v>231</v>
      </c>
      <c r="L123" s="3">
        <v>242.55</v>
      </c>
      <c r="M123" s="11" cm="1">
        <f t="array" ref="M123">IF(ISBLANK(Table16[[#This Row],[Unit Price]]),AVERAGE(_xlfn._xlws.FILTER(Table16[Unit Price],NOT(ISBLANK(Table16[Unit Price])))),Table16[[#This Row],[Unit Price]])</f>
        <v>242.55</v>
      </c>
      <c r="N123" s="3">
        <v>264.16000000000003</v>
      </c>
      <c r="O123" s="11">
        <f>Table16[[#This Row],[Unit sold Filled]]*Table16[[#This Row],[Unit Price Filled]]</f>
        <v>56029.05</v>
      </c>
    </row>
    <row r="124" spans="1:15" x14ac:dyDescent="0.3">
      <c r="A124" s="1" t="s">
        <v>151</v>
      </c>
      <c r="B124" s="1" t="s">
        <v>48</v>
      </c>
      <c r="C124" s="3" t="str">
        <f t="shared" si="3"/>
        <v>South</v>
      </c>
      <c r="D124" s="1" t="s">
        <v>12</v>
      </c>
      <c r="E124" s="1" t="s">
        <v>23</v>
      </c>
      <c r="F124" s="3" t="str">
        <f t="shared" si="2"/>
        <v>Clothing</v>
      </c>
      <c r="G124" s="1" t="s">
        <v>14</v>
      </c>
      <c r="H124" s="1" t="s">
        <v>20</v>
      </c>
      <c r="I124" s="2">
        <v>45049</v>
      </c>
      <c r="J124" s="3">
        <v>46</v>
      </c>
      <c r="K124" s="10" cm="1">
        <f t="array" ref="K124">IF(ISBLANK(Table16[[#This Row],[Units Sold]]),AVERAGE(_xlfn._xlws.FILTER(Table16[Units Sold],NOT(ISBLANK(Table16[Units Sold])))),Table16[[#This Row],[Units Sold]])</f>
        <v>46</v>
      </c>
      <c r="L124" s="3">
        <v>344.55</v>
      </c>
      <c r="M124" s="11" cm="1">
        <f t="array" ref="M124">IF(ISBLANK(Table16[[#This Row],[Unit Price]]),AVERAGE(_xlfn._xlws.FILTER(Table16[Unit Price],NOT(ISBLANK(Table16[Unit Price])))),Table16[[#This Row],[Unit Price]])</f>
        <v>344.55</v>
      </c>
      <c r="N124" s="3">
        <v>377.25</v>
      </c>
      <c r="O124" s="11">
        <f>Table16[[#This Row],[Unit sold Filled]]*Table16[[#This Row],[Unit Price Filled]]</f>
        <v>15849.300000000001</v>
      </c>
    </row>
    <row r="125" spans="1:15" x14ac:dyDescent="0.3">
      <c r="A125" s="1" t="s">
        <v>152</v>
      </c>
      <c r="B125" s="1" t="s">
        <v>11</v>
      </c>
      <c r="C125" s="3" t="str">
        <f t="shared" si="3"/>
        <v>East</v>
      </c>
      <c r="D125" s="1" t="s">
        <v>18</v>
      </c>
      <c r="E125" s="1" t="s">
        <v>13</v>
      </c>
      <c r="F125" s="3" t="str">
        <f t="shared" si="2"/>
        <v>Beverages</v>
      </c>
      <c r="G125" s="1" t="s">
        <v>24</v>
      </c>
      <c r="H125" s="1" t="s">
        <v>28</v>
      </c>
      <c r="I125" s="2">
        <v>45050</v>
      </c>
      <c r="J125" s="3">
        <v>486</v>
      </c>
      <c r="K125" s="10" cm="1">
        <f t="array" ref="K125">IF(ISBLANK(Table16[[#This Row],[Units Sold]]),AVERAGE(_xlfn._xlws.FILTER(Table16[Units Sold],NOT(ISBLANK(Table16[Units Sold])))),Table16[[#This Row],[Units Sold]])</f>
        <v>486</v>
      </c>
      <c r="L125" s="3">
        <v>13.6</v>
      </c>
      <c r="M125" s="11" cm="1">
        <f t="array" ref="M125">IF(ISBLANK(Table16[[#This Row],[Unit Price]]),AVERAGE(_xlfn._xlws.FILTER(Table16[Unit Price],NOT(ISBLANK(Table16[Unit Price])))),Table16[[#This Row],[Unit Price]])</f>
        <v>13.6</v>
      </c>
      <c r="N125" s="3">
        <v>323.94</v>
      </c>
      <c r="O125" s="11">
        <f>Table16[[#This Row],[Unit sold Filled]]*Table16[[#This Row],[Unit Price Filled]]</f>
        <v>6609.5999999999995</v>
      </c>
    </row>
    <row r="126" spans="1:15" x14ac:dyDescent="0.3">
      <c r="A126" s="1" t="s">
        <v>153</v>
      </c>
      <c r="B126" s="1" t="s">
        <v>22</v>
      </c>
      <c r="C126" s="3" t="str">
        <f t="shared" si="3"/>
        <v>North</v>
      </c>
      <c r="D126" s="1" t="s">
        <v>12</v>
      </c>
      <c r="E126" s="1" t="s">
        <v>13</v>
      </c>
      <c r="F126" s="3" t="str">
        <f t="shared" si="2"/>
        <v>Beverages</v>
      </c>
      <c r="G126" s="1" t="s">
        <v>24</v>
      </c>
      <c r="H126" s="1" t="s">
        <v>15</v>
      </c>
      <c r="I126" s="2">
        <v>45051</v>
      </c>
      <c r="J126" s="3">
        <v>287</v>
      </c>
      <c r="K126" s="10" cm="1">
        <f t="array" ref="K126">IF(ISBLANK(Table16[[#This Row],[Units Sold]]),AVERAGE(_xlfn._xlws.FILTER(Table16[Units Sold],NOT(ISBLANK(Table16[Units Sold])))),Table16[[#This Row],[Units Sold]])</f>
        <v>287</v>
      </c>
      <c r="L126" s="3">
        <v>164.95</v>
      </c>
      <c r="M126" s="11" cm="1">
        <f t="array" ref="M126">IF(ISBLANK(Table16[[#This Row],[Unit Price]]),AVERAGE(_xlfn._xlws.FILTER(Table16[Unit Price],NOT(ISBLANK(Table16[Unit Price])))),Table16[[#This Row],[Unit Price]])</f>
        <v>164.95</v>
      </c>
      <c r="N126" s="3">
        <v>32.409999999999997</v>
      </c>
      <c r="O126" s="11">
        <f>Table16[[#This Row],[Unit sold Filled]]*Table16[[#This Row],[Unit Price Filled]]</f>
        <v>47340.649999999994</v>
      </c>
    </row>
    <row r="127" spans="1:15" x14ac:dyDescent="0.3">
      <c r="A127" s="1" t="s">
        <v>154</v>
      </c>
      <c r="B127" s="1" t="s">
        <v>17</v>
      </c>
      <c r="C127" s="3" t="str">
        <f t="shared" si="3"/>
        <v>West</v>
      </c>
      <c r="D127" s="1" t="s">
        <v>31</v>
      </c>
      <c r="E127" s="1" t="s">
        <v>19</v>
      </c>
      <c r="F127" s="3" t="str">
        <f t="shared" si="2"/>
        <v>Food</v>
      </c>
      <c r="G127" s="1" t="s">
        <v>14</v>
      </c>
      <c r="H127" s="1" t="s">
        <v>28</v>
      </c>
      <c r="I127" s="2">
        <v>45052</v>
      </c>
      <c r="J127" s="3">
        <v>205</v>
      </c>
      <c r="K127" s="10" cm="1">
        <f t="array" ref="K127">IF(ISBLANK(Table16[[#This Row],[Units Sold]]),AVERAGE(_xlfn._xlws.FILTER(Table16[Units Sold],NOT(ISBLANK(Table16[Units Sold])))),Table16[[#This Row],[Units Sold]])</f>
        <v>205</v>
      </c>
      <c r="L127" s="3">
        <v>486.68</v>
      </c>
      <c r="M127" s="11" cm="1">
        <f t="array" ref="M127">IF(ISBLANK(Table16[[#This Row],[Unit Price]]),AVERAGE(_xlfn._xlws.FILTER(Table16[Unit Price],NOT(ISBLANK(Table16[Unit Price])))),Table16[[#This Row],[Unit Price]])</f>
        <v>486.68</v>
      </c>
      <c r="N127" s="3">
        <v>113.19</v>
      </c>
      <c r="O127" s="11">
        <f>Table16[[#This Row],[Unit sold Filled]]*Table16[[#This Row],[Unit Price Filled]]</f>
        <v>99769.4</v>
      </c>
    </row>
    <row r="128" spans="1:15" x14ac:dyDescent="0.3">
      <c r="A128" s="1" t="s">
        <v>155</v>
      </c>
      <c r="B128" s="1" t="s">
        <v>48</v>
      </c>
      <c r="C128" s="3" t="str">
        <f t="shared" si="3"/>
        <v>South</v>
      </c>
      <c r="D128" s="1" t="s">
        <v>12</v>
      </c>
      <c r="E128" s="1" t="s">
        <v>42</v>
      </c>
      <c r="F128" s="3" t="str">
        <f t="shared" si="2"/>
        <v>Electronics</v>
      </c>
      <c r="G128" s="1" t="s">
        <v>24</v>
      </c>
      <c r="H128" s="1" t="s">
        <v>28</v>
      </c>
      <c r="I128" s="2">
        <v>45053</v>
      </c>
      <c r="J128" s="3">
        <v>413</v>
      </c>
      <c r="K128" s="10" cm="1">
        <f t="array" ref="K128">IF(ISBLANK(Table16[[#This Row],[Units Sold]]),AVERAGE(_xlfn._xlws.FILTER(Table16[Units Sold],NOT(ISBLANK(Table16[Units Sold])))),Table16[[#This Row],[Units Sold]])</f>
        <v>413</v>
      </c>
      <c r="L128" s="3">
        <v>292.16000000000003</v>
      </c>
      <c r="M128" s="11" cm="1">
        <f t="array" ref="M128">IF(ISBLANK(Table16[[#This Row],[Unit Price]]),AVERAGE(_xlfn._xlws.FILTER(Table16[Unit Price],NOT(ISBLANK(Table16[Unit Price])))),Table16[[#This Row],[Unit Price]])</f>
        <v>292.16000000000003</v>
      </c>
      <c r="N128" s="3">
        <v>372.27</v>
      </c>
      <c r="O128" s="11">
        <f>Table16[[#This Row],[Unit sold Filled]]*Table16[[#This Row],[Unit Price Filled]]</f>
        <v>120662.08000000002</v>
      </c>
    </row>
    <row r="129" spans="1:15" x14ac:dyDescent="0.3">
      <c r="A129" s="1" t="s">
        <v>156</v>
      </c>
      <c r="B129" s="1" t="s">
        <v>22</v>
      </c>
      <c r="C129" s="3" t="str">
        <f t="shared" si="3"/>
        <v>North</v>
      </c>
      <c r="D129" s="1" t="s">
        <v>26</v>
      </c>
      <c r="E129" s="1" t="s">
        <v>42</v>
      </c>
      <c r="F129" s="3" t="str">
        <f t="shared" si="2"/>
        <v>Electronics</v>
      </c>
      <c r="G129" s="1" t="s">
        <v>24</v>
      </c>
      <c r="H129" s="1" t="s">
        <v>15</v>
      </c>
      <c r="I129" s="2">
        <v>45054</v>
      </c>
      <c r="J129" s="3">
        <v>361</v>
      </c>
      <c r="K129" s="10" cm="1">
        <f t="array" ref="K129">IF(ISBLANK(Table16[[#This Row],[Units Sold]]),AVERAGE(_xlfn._xlws.FILTER(Table16[Units Sold],NOT(ISBLANK(Table16[Units Sold])))),Table16[[#This Row],[Units Sold]])</f>
        <v>361</v>
      </c>
      <c r="L129" s="3">
        <v>130.84</v>
      </c>
      <c r="M129" s="11" cm="1">
        <f t="array" ref="M129">IF(ISBLANK(Table16[[#This Row],[Unit Price]]),AVERAGE(_xlfn._xlws.FILTER(Table16[Unit Price],NOT(ISBLANK(Table16[Unit Price])))),Table16[[#This Row],[Unit Price]])</f>
        <v>130.84</v>
      </c>
      <c r="N129" s="3">
        <v>102.72</v>
      </c>
      <c r="O129" s="11">
        <f>Table16[[#This Row],[Unit sold Filled]]*Table16[[#This Row],[Unit Price Filled]]</f>
        <v>47233.24</v>
      </c>
    </row>
    <row r="130" spans="1:15" x14ac:dyDescent="0.3">
      <c r="A130" s="1" t="s">
        <v>157</v>
      </c>
      <c r="B130" s="1" t="s">
        <v>17</v>
      </c>
      <c r="C130" s="3" t="str">
        <f t="shared" si="3"/>
        <v>West</v>
      </c>
      <c r="D130" s="1" t="s">
        <v>26</v>
      </c>
      <c r="E130" s="1" t="s">
        <v>27</v>
      </c>
      <c r="F130" s="3" t="str">
        <f t="shared" ref="F130:F193" si="4">IF(ISBLANK($E130), "Unknown", $E130)</f>
        <v>Furniture</v>
      </c>
      <c r="G130" s="1" t="s">
        <v>14</v>
      </c>
      <c r="H130" s="1" t="s">
        <v>15</v>
      </c>
      <c r="I130" s="2">
        <v>45055</v>
      </c>
      <c r="J130" s="3">
        <v>493</v>
      </c>
      <c r="K130" s="10" cm="1">
        <f t="array" ref="K130">IF(ISBLANK(Table16[[#This Row],[Units Sold]]),AVERAGE(_xlfn._xlws.FILTER(Table16[Units Sold],NOT(ISBLANK(Table16[Units Sold])))),Table16[[#This Row],[Units Sold]])</f>
        <v>493</v>
      </c>
      <c r="L130" s="3">
        <v>263.26</v>
      </c>
      <c r="M130" s="11" cm="1">
        <f t="array" ref="M130">IF(ISBLANK(Table16[[#This Row],[Unit Price]]),AVERAGE(_xlfn._xlws.FILTER(Table16[Unit Price],NOT(ISBLANK(Table16[Unit Price])))),Table16[[#This Row],[Unit Price]])</f>
        <v>263.26</v>
      </c>
      <c r="N130" s="3">
        <v>312.91000000000003</v>
      </c>
      <c r="O130" s="11">
        <f>Table16[[#This Row],[Unit sold Filled]]*Table16[[#This Row],[Unit Price Filled]]</f>
        <v>129787.18</v>
      </c>
    </row>
    <row r="131" spans="1:15" x14ac:dyDescent="0.3">
      <c r="A131" s="1" t="s">
        <v>158</v>
      </c>
      <c r="B131" s="1" t="s">
        <v>17</v>
      </c>
      <c r="C131" s="3" t="str">
        <f t="shared" ref="C131:C194" si="5">IF(ISBLANK($B131), "West", $B131)</f>
        <v>West</v>
      </c>
      <c r="D131" s="1" t="s">
        <v>31</v>
      </c>
      <c r="E131" s="1" t="s">
        <v>19</v>
      </c>
      <c r="F131" s="3" t="str">
        <f t="shared" si="4"/>
        <v>Food</v>
      </c>
      <c r="G131" s="1" t="s">
        <v>24</v>
      </c>
      <c r="H131" s="1" t="s">
        <v>15</v>
      </c>
      <c r="I131" s="2">
        <v>45056</v>
      </c>
      <c r="J131" s="3">
        <v>251</v>
      </c>
      <c r="K131" s="10" cm="1">
        <f t="array" ref="K131">IF(ISBLANK(Table16[[#This Row],[Units Sold]]),AVERAGE(_xlfn._xlws.FILTER(Table16[Units Sold],NOT(ISBLANK(Table16[Units Sold])))),Table16[[#This Row],[Units Sold]])</f>
        <v>251</v>
      </c>
      <c r="L131" s="3">
        <v>174.61</v>
      </c>
      <c r="M131" s="11" cm="1">
        <f t="array" ref="M131">IF(ISBLANK(Table16[[#This Row],[Unit Price]]),AVERAGE(_xlfn._xlws.FILTER(Table16[Unit Price],NOT(ISBLANK(Table16[Unit Price])))),Table16[[#This Row],[Unit Price]])</f>
        <v>174.61</v>
      </c>
      <c r="N131" s="3">
        <v>330.4</v>
      </c>
      <c r="O131" s="11">
        <f>Table16[[#This Row],[Unit sold Filled]]*Table16[[#This Row],[Unit Price Filled]]</f>
        <v>43827.11</v>
      </c>
    </row>
    <row r="132" spans="1:15" x14ac:dyDescent="0.3">
      <c r="A132" s="1" t="s">
        <v>159</v>
      </c>
      <c r="B132" s="1" t="s">
        <v>17</v>
      </c>
      <c r="C132" s="3" t="str">
        <f t="shared" si="5"/>
        <v>West</v>
      </c>
      <c r="D132" s="1" t="s">
        <v>18</v>
      </c>
      <c r="E132" s="1" t="s">
        <v>27</v>
      </c>
      <c r="F132" s="3" t="str">
        <f t="shared" si="4"/>
        <v>Furniture</v>
      </c>
      <c r="G132" s="1" t="s">
        <v>24</v>
      </c>
      <c r="H132" s="1" t="s">
        <v>15</v>
      </c>
      <c r="I132" s="2">
        <v>45057</v>
      </c>
      <c r="J132" s="1"/>
      <c r="K132" s="10" cm="1">
        <f t="array" ref="K132">IF(ISBLANK(Table16[[#This Row],[Units Sold]]),AVERAGE(_xlfn._xlws.FILTER(Table16[Units Sold],NOT(ISBLANK(Table16[Units Sold])))),Table16[[#This Row],[Units Sold]])</f>
        <v>255.90294117647059</v>
      </c>
      <c r="L132" s="3">
        <v>268.45999999999998</v>
      </c>
      <c r="M132" s="11" cm="1">
        <f t="array" ref="M132">IF(ISBLANK(Table16[[#This Row],[Unit Price]]),AVERAGE(_xlfn._xlws.FILTER(Table16[Unit Price],NOT(ISBLANK(Table16[Unit Price])))),Table16[[#This Row],[Unit Price]])</f>
        <v>268.45999999999998</v>
      </c>
      <c r="N132" s="3">
        <v>199.19</v>
      </c>
      <c r="O132" s="11">
        <f>Table16[[#This Row],[Unit sold Filled]]*Table16[[#This Row],[Unit Price Filled]]</f>
        <v>68699.703588235294</v>
      </c>
    </row>
    <row r="133" spans="1:15" x14ac:dyDescent="0.3">
      <c r="A133" s="1" t="s">
        <v>160</v>
      </c>
      <c r="B133" s="1" t="s">
        <v>22</v>
      </c>
      <c r="C133" s="3" t="str">
        <f t="shared" si="5"/>
        <v>North</v>
      </c>
      <c r="D133" s="1" t="s">
        <v>26</v>
      </c>
      <c r="E133" s="1" t="s">
        <v>27</v>
      </c>
      <c r="F133" s="3" t="str">
        <f t="shared" si="4"/>
        <v>Furniture</v>
      </c>
      <c r="G133" s="1" t="s">
        <v>24</v>
      </c>
      <c r="H133" s="1" t="s">
        <v>15</v>
      </c>
      <c r="I133" s="2">
        <v>45058</v>
      </c>
      <c r="J133" s="3">
        <v>228</v>
      </c>
      <c r="K133" s="10" cm="1">
        <f t="array" ref="K133">IF(ISBLANK(Table16[[#This Row],[Units Sold]]),AVERAGE(_xlfn._xlws.FILTER(Table16[Units Sold],NOT(ISBLANK(Table16[Units Sold])))),Table16[[#This Row],[Units Sold]])</f>
        <v>228</v>
      </c>
      <c r="L133" s="3">
        <v>67.239999999999995</v>
      </c>
      <c r="M133" s="11" cm="1">
        <f t="array" ref="M133">IF(ISBLANK(Table16[[#This Row],[Unit Price]]),AVERAGE(_xlfn._xlws.FILTER(Table16[Unit Price],NOT(ISBLANK(Table16[Unit Price])))),Table16[[#This Row],[Unit Price]])</f>
        <v>67.239999999999995</v>
      </c>
      <c r="N133" s="3">
        <v>155.77000000000001</v>
      </c>
      <c r="O133" s="11">
        <f>Table16[[#This Row],[Unit sold Filled]]*Table16[[#This Row],[Unit Price Filled]]</f>
        <v>15330.72</v>
      </c>
    </row>
    <row r="134" spans="1:15" x14ac:dyDescent="0.3">
      <c r="A134" s="1" t="s">
        <v>161</v>
      </c>
      <c r="B134" s="1" t="s">
        <v>22</v>
      </c>
      <c r="C134" s="3" t="str">
        <f t="shared" si="5"/>
        <v>North</v>
      </c>
      <c r="D134" s="1" t="s">
        <v>50</v>
      </c>
      <c r="E134" s="1" t="s">
        <v>27</v>
      </c>
      <c r="F134" s="3" t="str">
        <f t="shared" si="4"/>
        <v>Furniture</v>
      </c>
      <c r="G134" s="1" t="s">
        <v>14</v>
      </c>
      <c r="H134" s="1" t="s">
        <v>15</v>
      </c>
      <c r="I134" s="2">
        <v>45059</v>
      </c>
      <c r="J134" s="3">
        <v>201</v>
      </c>
      <c r="K134" s="10" cm="1">
        <f t="array" ref="K134">IF(ISBLANK(Table16[[#This Row],[Units Sold]]),AVERAGE(_xlfn._xlws.FILTER(Table16[Units Sold],NOT(ISBLANK(Table16[Units Sold])))),Table16[[#This Row],[Units Sold]])</f>
        <v>201</v>
      </c>
      <c r="L134" s="3">
        <v>70.69</v>
      </c>
      <c r="M134" s="11" cm="1">
        <f t="array" ref="M134">IF(ISBLANK(Table16[[#This Row],[Unit Price]]),AVERAGE(_xlfn._xlws.FILTER(Table16[Unit Price],NOT(ISBLANK(Table16[Unit Price])))),Table16[[#This Row],[Unit Price]])</f>
        <v>70.69</v>
      </c>
      <c r="N134" s="3">
        <v>181.15</v>
      </c>
      <c r="O134" s="11">
        <f>Table16[[#This Row],[Unit sold Filled]]*Table16[[#This Row],[Unit Price Filled]]</f>
        <v>14208.689999999999</v>
      </c>
    </row>
    <row r="135" spans="1:15" x14ac:dyDescent="0.3">
      <c r="A135" s="1" t="s">
        <v>162</v>
      </c>
      <c r="B135" s="1" t="s">
        <v>22</v>
      </c>
      <c r="C135" s="3" t="str">
        <f t="shared" si="5"/>
        <v>North</v>
      </c>
      <c r="D135" s="1" t="s">
        <v>26</v>
      </c>
      <c r="E135" s="1" t="s">
        <v>23</v>
      </c>
      <c r="F135" s="3" t="str">
        <f t="shared" si="4"/>
        <v>Clothing</v>
      </c>
      <c r="G135" s="1" t="s">
        <v>14</v>
      </c>
      <c r="H135" s="1" t="s">
        <v>15</v>
      </c>
      <c r="I135" s="2">
        <v>45060</v>
      </c>
      <c r="J135" s="3">
        <v>26</v>
      </c>
      <c r="K135" s="10" cm="1">
        <f t="array" ref="K135">IF(ISBLANK(Table16[[#This Row],[Units Sold]]),AVERAGE(_xlfn._xlws.FILTER(Table16[Units Sold],NOT(ISBLANK(Table16[Units Sold])))),Table16[[#This Row],[Units Sold]])</f>
        <v>26</v>
      </c>
      <c r="L135" s="3">
        <v>76.05</v>
      </c>
      <c r="M135" s="11" cm="1">
        <f t="array" ref="M135">IF(ISBLANK(Table16[[#This Row],[Unit Price]]),AVERAGE(_xlfn._xlws.FILTER(Table16[Unit Price],NOT(ISBLANK(Table16[Unit Price])))),Table16[[#This Row],[Unit Price]])</f>
        <v>76.05</v>
      </c>
      <c r="N135" s="3">
        <v>92.33</v>
      </c>
      <c r="O135" s="11">
        <f>Table16[[#This Row],[Unit sold Filled]]*Table16[[#This Row],[Unit Price Filled]]</f>
        <v>1977.3</v>
      </c>
    </row>
    <row r="136" spans="1:15" x14ac:dyDescent="0.3">
      <c r="A136" s="1" t="s">
        <v>163</v>
      </c>
      <c r="B136" s="1" t="s">
        <v>11</v>
      </c>
      <c r="C136" s="3" t="str">
        <f t="shared" si="5"/>
        <v>East</v>
      </c>
      <c r="D136" s="1" t="s">
        <v>26</v>
      </c>
      <c r="E136" s="1" t="s">
        <v>23</v>
      </c>
      <c r="F136" s="3" t="str">
        <f t="shared" si="4"/>
        <v>Clothing</v>
      </c>
      <c r="G136" s="1" t="s">
        <v>14</v>
      </c>
      <c r="H136" s="1" t="s">
        <v>20</v>
      </c>
      <c r="I136" s="2">
        <v>45061</v>
      </c>
      <c r="J136" s="3">
        <v>21</v>
      </c>
      <c r="K136" s="10" cm="1">
        <f t="array" ref="K136">IF(ISBLANK(Table16[[#This Row],[Units Sold]]),AVERAGE(_xlfn._xlws.FILTER(Table16[Units Sold],NOT(ISBLANK(Table16[Units Sold])))),Table16[[#This Row],[Units Sold]])</f>
        <v>21</v>
      </c>
      <c r="L136" s="3">
        <v>470.21</v>
      </c>
      <c r="M136" s="11" cm="1">
        <f t="array" ref="M136">IF(ISBLANK(Table16[[#This Row],[Unit Price]]),AVERAGE(_xlfn._xlws.FILTER(Table16[Unit Price],NOT(ISBLANK(Table16[Unit Price])))),Table16[[#This Row],[Unit Price]])</f>
        <v>470.21</v>
      </c>
      <c r="N136" s="3">
        <v>355.98</v>
      </c>
      <c r="O136" s="11">
        <f>Table16[[#This Row],[Unit sold Filled]]*Table16[[#This Row],[Unit Price Filled]]</f>
        <v>9874.41</v>
      </c>
    </row>
    <row r="137" spans="1:15" x14ac:dyDescent="0.3">
      <c r="A137" s="1" t="s">
        <v>164</v>
      </c>
      <c r="B137" s="1" t="s">
        <v>22</v>
      </c>
      <c r="C137" s="3" t="str">
        <f t="shared" si="5"/>
        <v>North</v>
      </c>
      <c r="D137" s="1" t="s">
        <v>18</v>
      </c>
      <c r="E137" s="1" t="s">
        <v>27</v>
      </c>
      <c r="F137" s="3" t="str">
        <f t="shared" si="4"/>
        <v>Furniture</v>
      </c>
      <c r="G137" s="1" t="s">
        <v>24</v>
      </c>
      <c r="H137" s="1" t="s">
        <v>28</v>
      </c>
      <c r="I137" s="2">
        <v>45062</v>
      </c>
      <c r="J137" s="3">
        <v>415</v>
      </c>
      <c r="K137" s="10" cm="1">
        <f t="array" ref="K137">IF(ISBLANK(Table16[[#This Row],[Units Sold]]),AVERAGE(_xlfn._xlws.FILTER(Table16[Units Sold],NOT(ISBLANK(Table16[Units Sold])))),Table16[[#This Row],[Units Sold]])</f>
        <v>415</v>
      </c>
      <c r="L137" s="3">
        <v>367.78</v>
      </c>
      <c r="M137" s="11" cm="1">
        <f t="array" ref="M137">IF(ISBLANK(Table16[[#This Row],[Unit Price]]),AVERAGE(_xlfn._xlws.FILTER(Table16[Unit Price],NOT(ISBLANK(Table16[Unit Price])))),Table16[[#This Row],[Unit Price]])</f>
        <v>367.78</v>
      </c>
      <c r="N137" s="3">
        <v>181.35</v>
      </c>
      <c r="O137" s="11">
        <f>Table16[[#This Row],[Unit sold Filled]]*Table16[[#This Row],[Unit Price Filled]]</f>
        <v>152628.69999999998</v>
      </c>
    </row>
    <row r="138" spans="1:15" x14ac:dyDescent="0.3">
      <c r="A138" s="1" t="s">
        <v>165</v>
      </c>
      <c r="B138" s="1" t="s">
        <v>22</v>
      </c>
      <c r="C138" s="3" t="str">
        <f t="shared" si="5"/>
        <v>North</v>
      </c>
      <c r="D138" s="1" t="s">
        <v>12</v>
      </c>
      <c r="E138" s="1" t="s">
        <v>19</v>
      </c>
      <c r="F138" s="3" t="str">
        <f t="shared" si="4"/>
        <v>Food</v>
      </c>
      <c r="G138" s="1" t="s">
        <v>24</v>
      </c>
      <c r="H138" s="1" t="s">
        <v>15</v>
      </c>
      <c r="I138" s="2">
        <v>45063</v>
      </c>
      <c r="J138" s="3">
        <v>410</v>
      </c>
      <c r="K138" s="10" cm="1">
        <f t="array" ref="K138">IF(ISBLANK(Table16[[#This Row],[Units Sold]]),AVERAGE(_xlfn._xlws.FILTER(Table16[Units Sold],NOT(ISBLANK(Table16[Units Sold])))),Table16[[#This Row],[Units Sold]])</f>
        <v>410</v>
      </c>
      <c r="L138" s="3">
        <v>85.38</v>
      </c>
      <c r="M138" s="11" cm="1">
        <f t="array" ref="M138">IF(ISBLANK(Table16[[#This Row],[Unit Price]]),AVERAGE(_xlfn._xlws.FILTER(Table16[Unit Price],NOT(ISBLANK(Table16[Unit Price])))),Table16[[#This Row],[Unit Price]])</f>
        <v>85.38</v>
      </c>
      <c r="N138" s="3">
        <v>353.22</v>
      </c>
      <c r="O138" s="11">
        <f>Table16[[#This Row],[Unit sold Filled]]*Table16[[#This Row],[Unit Price Filled]]</f>
        <v>35005.799999999996</v>
      </c>
    </row>
    <row r="139" spans="1:15" x14ac:dyDescent="0.3">
      <c r="A139" s="1" t="s">
        <v>166</v>
      </c>
      <c r="B139" s="1" t="s">
        <v>22</v>
      </c>
      <c r="C139" s="3" t="str">
        <f t="shared" si="5"/>
        <v>North</v>
      </c>
      <c r="D139" s="1" t="s">
        <v>26</v>
      </c>
      <c r="E139" s="1" t="s">
        <v>42</v>
      </c>
      <c r="F139" s="3" t="str">
        <f t="shared" si="4"/>
        <v>Electronics</v>
      </c>
      <c r="G139" s="1" t="s">
        <v>14</v>
      </c>
      <c r="H139" s="1" t="s">
        <v>20</v>
      </c>
      <c r="I139" s="2">
        <v>45064</v>
      </c>
      <c r="J139" s="3">
        <v>403</v>
      </c>
      <c r="K139" s="10" cm="1">
        <f t="array" ref="K139">IF(ISBLANK(Table16[[#This Row],[Units Sold]]),AVERAGE(_xlfn._xlws.FILTER(Table16[Units Sold],NOT(ISBLANK(Table16[Units Sold])))),Table16[[#This Row],[Units Sold]])</f>
        <v>403</v>
      </c>
      <c r="L139" s="3">
        <v>98.23</v>
      </c>
      <c r="M139" s="11" cm="1">
        <f t="array" ref="M139">IF(ISBLANK(Table16[[#This Row],[Unit Price]]),AVERAGE(_xlfn._xlws.FILTER(Table16[Unit Price],NOT(ISBLANK(Table16[Unit Price])))),Table16[[#This Row],[Unit Price]])</f>
        <v>98.23</v>
      </c>
      <c r="N139" s="3">
        <v>44.07</v>
      </c>
      <c r="O139" s="11">
        <f>Table16[[#This Row],[Unit sold Filled]]*Table16[[#This Row],[Unit Price Filled]]</f>
        <v>39586.69</v>
      </c>
    </row>
    <row r="140" spans="1:15" x14ac:dyDescent="0.3">
      <c r="A140" s="1" t="s">
        <v>167</v>
      </c>
      <c r="B140" s="1" t="s">
        <v>11</v>
      </c>
      <c r="C140" s="3" t="str">
        <f t="shared" si="5"/>
        <v>East</v>
      </c>
      <c r="D140" s="1" t="s">
        <v>31</v>
      </c>
      <c r="E140" s="1" t="s">
        <v>19</v>
      </c>
      <c r="F140" s="3" t="str">
        <f t="shared" si="4"/>
        <v>Food</v>
      </c>
      <c r="G140" s="1" t="s">
        <v>24</v>
      </c>
      <c r="H140" s="1" t="s">
        <v>20</v>
      </c>
      <c r="I140" s="2">
        <v>45065</v>
      </c>
      <c r="J140" s="3">
        <v>383</v>
      </c>
      <c r="K140" s="10" cm="1">
        <f t="array" ref="K140">IF(ISBLANK(Table16[[#This Row],[Units Sold]]),AVERAGE(_xlfn._xlws.FILTER(Table16[Units Sold],NOT(ISBLANK(Table16[Units Sold])))),Table16[[#This Row],[Units Sold]])</f>
        <v>383</v>
      </c>
      <c r="L140" s="3">
        <v>366.76</v>
      </c>
      <c r="M140" s="11" cm="1">
        <f t="array" ref="M140">IF(ISBLANK(Table16[[#This Row],[Unit Price]]),AVERAGE(_xlfn._xlws.FILTER(Table16[Unit Price],NOT(ISBLANK(Table16[Unit Price])))),Table16[[#This Row],[Unit Price]])</f>
        <v>366.76</v>
      </c>
      <c r="N140" s="3">
        <v>395.33</v>
      </c>
      <c r="O140" s="11">
        <f>Table16[[#This Row],[Unit sold Filled]]*Table16[[#This Row],[Unit Price Filled]]</f>
        <v>140469.07999999999</v>
      </c>
    </row>
    <row r="141" spans="1:15" x14ac:dyDescent="0.3">
      <c r="A141" s="1" t="s">
        <v>168</v>
      </c>
      <c r="B141" s="1" t="s">
        <v>22</v>
      </c>
      <c r="C141" s="3" t="str">
        <f t="shared" si="5"/>
        <v>North</v>
      </c>
      <c r="D141" s="1" t="s">
        <v>12</v>
      </c>
      <c r="E141" s="1" t="s">
        <v>13</v>
      </c>
      <c r="F141" s="3" t="str">
        <f t="shared" si="4"/>
        <v>Beverages</v>
      </c>
      <c r="G141" s="1" t="s">
        <v>24</v>
      </c>
      <c r="H141" s="1" t="s">
        <v>20</v>
      </c>
      <c r="I141" s="2">
        <v>45066</v>
      </c>
      <c r="J141" s="3">
        <v>202</v>
      </c>
      <c r="K141" s="10" cm="1">
        <f t="array" ref="K141">IF(ISBLANK(Table16[[#This Row],[Units Sold]]),AVERAGE(_xlfn._xlws.FILTER(Table16[Units Sold],NOT(ISBLANK(Table16[Units Sold])))),Table16[[#This Row],[Units Sold]])</f>
        <v>202</v>
      </c>
      <c r="L141" s="3">
        <v>82.3</v>
      </c>
      <c r="M141" s="11" cm="1">
        <f t="array" ref="M141">IF(ISBLANK(Table16[[#This Row],[Unit Price]]),AVERAGE(_xlfn._xlws.FILTER(Table16[Unit Price],NOT(ISBLANK(Table16[Unit Price])))),Table16[[#This Row],[Unit Price]])</f>
        <v>82.3</v>
      </c>
      <c r="N141" s="3">
        <v>178.42</v>
      </c>
      <c r="O141" s="11">
        <f>Table16[[#This Row],[Unit sold Filled]]*Table16[[#This Row],[Unit Price Filled]]</f>
        <v>16624.599999999999</v>
      </c>
    </row>
    <row r="142" spans="1:15" x14ac:dyDescent="0.3">
      <c r="A142" s="1" t="s">
        <v>169</v>
      </c>
      <c r="B142" s="1" t="s">
        <v>17</v>
      </c>
      <c r="C142" s="3" t="str">
        <f t="shared" si="5"/>
        <v>West</v>
      </c>
      <c r="D142" s="1" t="s">
        <v>50</v>
      </c>
      <c r="E142" s="1" t="s">
        <v>23</v>
      </c>
      <c r="F142" s="3" t="str">
        <f t="shared" si="4"/>
        <v>Clothing</v>
      </c>
      <c r="G142" s="1" t="s">
        <v>24</v>
      </c>
      <c r="H142" s="1" t="s">
        <v>28</v>
      </c>
      <c r="I142" s="2">
        <v>45067</v>
      </c>
      <c r="J142" s="3">
        <v>31</v>
      </c>
      <c r="K142" s="10" cm="1">
        <f t="array" ref="K142">IF(ISBLANK(Table16[[#This Row],[Units Sold]]),AVERAGE(_xlfn._xlws.FILTER(Table16[Units Sold],NOT(ISBLANK(Table16[Units Sold])))),Table16[[#This Row],[Units Sold]])</f>
        <v>31</v>
      </c>
      <c r="L142" s="3">
        <v>121.11</v>
      </c>
      <c r="M142" s="11" cm="1">
        <f t="array" ref="M142">IF(ISBLANK(Table16[[#This Row],[Unit Price]]),AVERAGE(_xlfn._xlws.FILTER(Table16[Unit Price],NOT(ISBLANK(Table16[Unit Price])))),Table16[[#This Row],[Unit Price]])</f>
        <v>121.11</v>
      </c>
      <c r="N142" s="3">
        <v>21.04</v>
      </c>
      <c r="O142" s="11">
        <f>Table16[[#This Row],[Unit sold Filled]]*Table16[[#This Row],[Unit Price Filled]]</f>
        <v>3754.41</v>
      </c>
    </row>
    <row r="143" spans="1:15" x14ac:dyDescent="0.3">
      <c r="A143" s="1" t="s">
        <v>170</v>
      </c>
      <c r="B143" s="1" t="s">
        <v>22</v>
      </c>
      <c r="C143" s="3" t="str">
        <f t="shared" si="5"/>
        <v>North</v>
      </c>
      <c r="D143" s="1" t="s">
        <v>18</v>
      </c>
      <c r="E143" s="1" t="s">
        <v>42</v>
      </c>
      <c r="F143" s="3" t="str">
        <f t="shared" si="4"/>
        <v>Electronics</v>
      </c>
      <c r="G143" s="1" t="s">
        <v>24</v>
      </c>
      <c r="H143" s="1" t="s">
        <v>15</v>
      </c>
      <c r="I143" s="2">
        <v>45068</v>
      </c>
      <c r="J143" s="3">
        <v>483</v>
      </c>
      <c r="K143" s="10" cm="1">
        <f t="array" ref="K143">IF(ISBLANK(Table16[[#This Row],[Units Sold]]),AVERAGE(_xlfn._xlws.FILTER(Table16[Units Sold],NOT(ISBLANK(Table16[Units Sold])))),Table16[[#This Row],[Units Sold]])</f>
        <v>483</v>
      </c>
      <c r="L143" s="3">
        <v>481.86</v>
      </c>
      <c r="M143" s="11" cm="1">
        <f t="array" ref="M143">IF(ISBLANK(Table16[[#This Row],[Unit Price]]),AVERAGE(_xlfn._xlws.FILTER(Table16[Unit Price],NOT(ISBLANK(Table16[Unit Price])))),Table16[[#This Row],[Unit Price]])</f>
        <v>481.86</v>
      </c>
      <c r="N143" s="3">
        <v>17.13</v>
      </c>
      <c r="O143" s="11">
        <f>Table16[[#This Row],[Unit sold Filled]]*Table16[[#This Row],[Unit Price Filled]]</f>
        <v>232738.38</v>
      </c>
    </row>
    <row r="144" spans="1:15" x14ac:dyDescent="0.3">
      <c r="A144" s="1" t="s">
        <v>171</v>
      </c>
      <c r="B144" s="1" t="s">
        <v>17</v>
      </c>
      <c r="C144" s="3" t="str">
        <f t="shared" si="5"/>
        <v>West</v>
      </c>
      <c r="D144" s="1" t="s">
        <v>50</v>
      </c>
      <c r="E144" s="1" t="s">
        <v>42</v>
      </c>
      <c r="F144" s="3" t="str">
        <f t="shared" si="4"/>
        <v>Electronics</v>
      </c>
      <c r="G144" s="1" t="s">
        <v>24</v>
      </c>
      <c r="H144" s="1" t="s">
        <v>20</v>
      </c>
      <c r="I144" s="2">
        <v>45069</v>
      </c>
      <c r="J144" s="3">
        <v>129</v>
      </c>
      <c r="K144" s="10" cm="1">
        <f t="array" ref="K144">IF(ISBLANK(Table16[[#This Row],[Units Sold]]),AVERAGE(_xlfn._xlws.FILTER(Table16[Units Sold],NOT(ISBLANK(Table16[Units Sold])))),Table16[[#This Row],[Units Sold]])</f>
        <v>129</v>
      </c>
      <c r="L144" s="3">
        <v>131.38</v>
      </c>
      <c r="M144" s="11" cm="1">
        <f t="array" ref="M144">IF(ISBLANK(Table16[[#This Row],[Unit Price]]),AVERAGE(_xlfn._xlws.FILTER(Table16[Unit Price],NOT(ISBLANK(Table16[Unit Price])))),Table16[[#This Row],[Unit Price]])</f>
        <v>131.38</v>
      </c>
      <c r="N144" s="3">
        <v>298.99</v>
      </c>
      <c r="O144" s="11">
        <f>Table16[[#This Row],[Unit sold Filled]]*Table16[[#This Row],[Unit Price Filled]]</f>
        <v>16948.02</v>
      </c>
    </row>
    <row r="145" spans="1:15" x14ac:dyDescent="0.3">
      <c r="A145" s="1" t="s">
        <v>172</v>
      </c>
      <c r="B145" s="1" t="s">
        <v>17</v>
      </c>
      <c r="C145" s="3" t="str">
        <f t="shared" si="5"/>
        <v>West</v>
      </c>
      <c r="D145" s="1" t="s">
        <v>12</v>
      </c>
      <c r="E145" s="1" t="s">
        <v>13</v>
      </c>
      <c r="F145" s="3" t="str">
        <f t="shared" si="4"/>
        <v>Beverages</v>
      </c>
      <c r="G145" s="1" t="s">
        <v>14</v>
      </c>
      <c r="H145" s="1" t="s">
        <v>28</v>
      </c>
      <c r="I145" s="2">
        <v>45070</v>
      </c>
      <c r="J145" s="3">
        <v>219</v>
      </c>
      <c r="K145" s="10" cm="1">
        <f t="array" ref="K145">IF(ISBLANK(Table16[[#This Row],[Units Sold]]),AVERAGE(_xlfn._xlws.FILTER(Table16[Units Sold],NOT(ISBLANK(Table16[Units Sold])))),Table16[[#This Row],[Units Sold]])</f>
        <v>219</v>
      </c>
      <c r="L145" s="3">
        <v>332.51</v>
      </c>
      <c r="M145" s="11" cm="1">
        <f t="array" ref="M145">IF(ISBLANK(Table16[[#This Row],[Unit Price]]),AVERAGE(_xlfn._xlws.FILTER(Table16[Unit Price],NOT(ISBLANK(Table16[Unit Price])))),Table16[[#This Row],[Unit Price]])</f>
        <v>332.51</v>
      </c>
      <c r="N145" s="3">
        <v>264.3</v>
      </c>
      <c r="O145" s="11">
        <f>Table16[[#This Row],[Unit sold Filled]]*Table16[[#This Row],[Unit Price Filled]]</f>
        <v>72819.69</v>
      </c>
    </row>
    <row r="146" spans="1:15" x14ac:dyDescent="0.3">
      <c r="A146" s="1" t="s">
        <v>173</v>
      </c>
      <c r="B146" s="1" t="s">
        <v>17</v>
      </c>
      <c r="C146" s="3" t="str">
        <f t="shared" si="5"/>
        <v>West</v>
      </c>
      <c r="D146" s="1" t="s">
        <v>12</v>
      </c>
      <c r="E146" s="1" t="s">
        <v>13</v>
      </c>
      <c r="F146" s="3" t="str">
        <f t="shared" si="4"/>
        <v>Beverages</v>
      </c>
      <c r="G146" s="1" t="s">
        <v>24</v>
      </c>
      <c r="H146" s="1" t="s">
        <v>28</v>
      </c>
      <c r="I146" s="2">
        <v>45071</v>
      </c>
      <c r="J146" s="3">
        <v>315</v>
      </c>
      <c r="K146" s="10" cm="1">
        <f t="array" ref="K146">IF(ISBLANK(Table16[[#This Row],[Units Sold]]),AVERAGE(_xlfn._xlws.FILTER(Table16[Units Sold],NOT(ISBLANK(Table16[Units Sold])))),Table16[[#This Row],[Units Sold]])</f>
        <v>315</v>
      </c>
      <c r="L146" s="3">
        <v>489.42</v>
      </c>
      <c r="M146" s="11" cm="1">
        <f t="array" ref="M146">IF(ISBLANK(Table16[[#This Row],[Unit Price]]),AVERAGE(_xlfn._xlws.FILTER(Table16[Unit Price],NOT(ISBLANK(Table16[Unit Price])))),Table16[[#This Row],[Unit Price]])</f>
        <v>489.42</v>
      </c>
      <c r="N146" s="3">
        <v>321.25</v>
      </c>
      <c r="O146" s="11">
        <f>Table16[[#This Row],[Unit sold Filled]]*Table16[[#This Row],[Unit Price Filled]]</f>
        <v>154167.30000000002</v>
      </c>
    </row>
    <row r="147" spans="1:15" x14ac:dyDescent="0.3">
      <c r="A147" s="1" t="s">
        <v>174</v>
      </c>
      <c r="B147" s="1" t="s">
        <v>11</v>
      </c>
      <c r="C147" s="3" t="str">
        <f t="shared" si="5"/>
        <v>East</v>
      </c>
      <c r="D147" s="1" t="s">
        <v>12</v>
      </c>
      <c r="E147" s="1" t="s">
        <v>27</v>
      </c>
      <c r="F147" s="3" t="str">
        <f t="shared" si="4"/>
        <v>Furniture</v>
      </c>
      <c r="G147" s="1" t="s">
        <v>14</v>
      </c>
      <c r="H147" s="1" t="s">
        <v>28</v>
      </c>
      <c r="I147" s="2">
        <v>45072</v>
      </c>
      <c r="J147" s="3">
        <v>279</v>
      </c>
      <c r="K147" s="10" cm="1">
        <f t="array" ref="K147">IF(ISBLANK(Table16[[#This Row],[Units Sold]]),AVERAGE(_xlfn._xlws.FILTER(Table16[Units Sold],NOT(ISBLANK(Table16[Units Sold])))),Table16[[#This Row],[Units Sold]])</f>
        <v>279</v>
      </c>
      <c r="L147" s="3">
        <v>190.28</v>
      </c>
      <c r="M147" s="11" cm="1">
        <f t="array" ref="M147">IF(ISBLANK(Table16[[#This Row],[Unit Price]]),AVERAGE(_xlfn._xlws.FILTER(Table16[Unit Price],NOT(ISBLANK(Table16[Unit Price])))),Table16[[#This Row],[Unit Price]])</f>
        <v>190.28</v>
      </c>
      <c r="N147" s="3">
        <v>43.94</v>
      </c>
      <c r="O147" s="11">
        <f>Table16[[#This Row],[Unit sold Filled]]*Table16[[#This Row],[Unit Price Filled]]</f>
        <v>53088.12</v>
      </c>
    </row>
    <row r="148" spans="1:15" x14ac:dyDescent="0.3">
      <c r="A148" s="1" t="s">
        <v>175</v>
      </c>
      <c r="B148" s="1" t="s">
        <v>11</v>
      </c>
      <c r="C148" s="3" t="str">
        <f t="shared" si="5"/>
        <v>East</v>
      </c>
      <c r="D148" s="1" t="s">
        <v>50</v>
      </c>
      <c r="E148" s="1" t="s">
        <v>23</v>
      </c>
      <c r="F148" s="3" t="str">
        <f t="shared" si="4"/>
        <v>Clothing</v>
      </c>
      <c r="G148" s="1" t="s">
        <v>24</v>
      </c>
      <c r="H148" s="1" t="s">
        <v>20</v>
      </c>
      <c r="I148" s="2">
        <v>45073</v>
      </c>
      <c r="J148" s="3">
        <v>201</v>
      </c>
      <c r="K148" s="10" cm="1">
        <f t="array" ref="K148">IF(ISBLANK(Table16[[#This Row],[Units Sold]]),AVERAGE(_xlfn._xlws.FILTER(Table16[Units Sold],NOT(ISBLANK(Table16[Units Sold])))),Table16[[#This Row],[Units Sold]])</f>
        <v>201</v>
      </c>
      <c r="L148" s="3">
        <v>13.67</v>
      </c>
      <c r="M148" s="11" cm="1">
        <f t="array" ref="M148">IF(ISBLANK(Table16[[#This Row],[Unit Price]]),AVERAGE(_xlfn._xlws.FILTER(Table16[Unit Price],NOT(ISBLANK(Table16[Unit Price])))),Table16[[#This Row],[Unit Price]])</f>
        <v>13.67</v>
      </c>
      <c r="N148" s="3">
        <v>16.16</v>
      </c>
      <c r="O148" s="11">
        <f>Table16[[#This Row],[Unit sold Filled]]*Table16[[#This Row],[Unit Price Filled]]</f>
        <v>2747.67</v>
      </c>
    </row>
    <row r="149" spans="1:15" x14ac:dyDescent="0.3">
      <c r="A149" s="1" t="s">
        <v>176</v>
      </c>
      <c r="B149" s="1" t="s">
        <v>11</v>
      </c>
      <c r="C149" s="3" t="str">
        <f t="shared" si="5"/>
        <v>East</v>
      </c>
      <c r="D149" s="1" t="s">
        <v>12</v>
      </c>
      <c r="E149" s="1" t="s">
        <v>23</v>
      </c>
      <c r="F149" s="3" t="str">
        <f t="shared" si="4"/>
        <v>Clothing</v>
      </c>
      <c r="G149" s="1" t="s">
        <v>14</v>
      </c>
      <c r="H149" s="1" t="s">
        <v>15</v>
      </c>
      <c r="I149" s="2">
        <v>45074</v>
      </c>
      <c r="J149" s="3">
        <v>184</v>
      </c>
      <c r="K149" s="10" cm="1">
        <f t="array" ref="K149">IF(ISBLANK(Table16[[#This Row],[Units Sold]]),AVERAGE(_xlfn._xlws.FILTER(Table16[Units Sold],NOT(ISBLANK(Table16[Units Sold])))),Table16[[#This Row],[Units Sold]])</f>
        <v>184</v>
      </c>
      <c r="L149" s="3">
        <v>125.85</v>
      </c>
      <c r="M149" s="11" cm="1">
        <f t="array" ref="M149">IF(ISBLANK(Table16[[#This Row],[Unit Price]]),AVERAGE(_xlfn._xlws.FILTER(Table16[Unit Price],NOT(ISBLANK(Table16[Unit Price])))),Table16[[#This Row],[Unit Price]])</f>
        <v>125.85</v>
      </c>
      <c r="N149" s="3">
        <v>204.41</v>
      </c>
      <c r="O149" s="11">
        <f>Table16[[#This Row],[Unit sold Filled]]*Table16[[#This Row],[Unit Price Filled]]</f>
        <v>23156.399999999998</v>
      </c>
    </row>
    <row r="150" spans="1:15" x14ac:dyDescent="0.3">
      <c r="A150" s="1" t="s">
        <v>177</v>
      </c>
      <c r="B150" s="1" t="s">
        <v>22</v>
      </c>
      <c r="C150" s="3" t="str">
        <f t="shared" si="5"/>
        <v>North</v>
      </c>
      <c r="D150" s="1" t="s">
        <v>50</v>
      </c>
      <c r="E150" s="1" t="s">
        <v>19</v>
      </c>
      <c r="F150" s="3" t="str">
        <f t="shared" si="4"/>
        <v>Food</v>
      </c>
      <c r="G150" s="1" t="s">
        <v>24</v>
      </c>
      <c r="H150" s="1" t="s">
        <v>20</v>
      </c>
      <c r="I150" s="2">
        <v>45075</v>
      </c>
      <c r="J150" s="3">
        <v>294</v>
      </c>
      <c r="K150" s="10" cm="1">
        <f t="array" ref="K150">IF(ISBLANK(Table16[[#This Row],[Units Sold]]),AVERAGE(_xlfn._xlws.FILTER(Table16[Units Sold],NOT(ISBLANK(Table16[Units Sold])))),Table16[[#This Row],[Units Sold]])</f>
        <v>294</v>
      </c>
      <c r="L150" s="3">
        <v>416.28</v>
      </c>
      <c r="M150" s="11" cm="1">
        <f t="array" ref="M150">IF(ISBLANK(Table16[[#This Row],[Unit Price]]),AVERAGE(_xlfn._xlws.FILTER(Table16[Unit Price],NOT(ISBLANK(Table16[Unit Price])))),Table16[[#This Row],[Unit Price]])</f>
        <v>416.28</v>
      </c>
      <c r="N150" s="3">
        <v>156.26</v>
      </c>
      <c r="O150" s="11">
        <f>Table16[[#This Row],[Unit sold Filled]]*Table16[[#This Row],[Unit Price Filled]]</f>
        <v>122386.31999999999</v>
      </c>
    </row>
    <row r="151" spans="1:15" x14ac:dyDescent="0.3">
      <c r="A151" s="1" t="s">
        <v>178</v>
      </c>
      <c r="B151" s="1" t="s">
        <v>17</v>
      </c>
      <c r="C151" s="3" t="str">
        <f t="shared" si="5"/>
        <v>West</v>
      </c>
      <c r="D151" s="1" t="s">
        <v>12</v>
      </c>
      <c r="E151" s="1" t="s">
        <v>27</v>
      </c>
      <c r="F151" s="3" t="str">
        <f t="shared" si="4"/>
        <v>Furniture</v>
      </c>
      <c r="G151" s="1" t="s">
        <v>14</v>
      </c>
      <c r="H151" s="1" t="s">
        <v>20</v>
      </c>
      <c r="I151" s="2">
        <v>45076</v>
      </c>
      <c r="J151" s="3">
        <v>213</v>
      </c>
      <c r="K151" s="10" cm="1">
        <f t="array" ref="K151">IF(ISBLANK(Table16[[#This Row],[Units Sold]]),AVERAGE(_xlfn._xlws.FILTER(Table16[Units Sold],NOT(ISBLANK(Table16[Units Sold])))),Table16[[#This Row],[Units Sold]])</f>
        <v>213</v>
      </c>
      <c r="L151" s="3">
        <v>432.98</v>
      </c>
      <c r="M151" s="11" cm="1">
        <f t="array" ref="M151">IF(ISBLANK(Table16[[#This Row],[Unit Price]]),AVERAGE(_xlfn._xlws.FILTER(Table16[Unit Price],NOT(ISBLANK(Table16[Unit Price])))),Table16[[#This Row],[Unit Price]])</f>
        <v>432.98</v>
      </c>
      <c r="N151" s="3">
        <v>185.85</v>
      </c>
      <c r="O151" s="11">
        <f>Table16[[#This Row],[Unit sold Filled]]*Table16[[#This Row],[Unit Price Filled]]</f>
        <v>92224.74</v>
      </c>
    </row>
    <row r="152" spans="1:15" x14ac:dyDescent="0.3">
      <c r="A152" s="1" t="s">
        <v>179</v>
      </c>
      <c r="B152" s="1" t="s">
        <v>11</v>
      </c>
      <c r="C152" s="3" t="str">
        <f t="shared" si="5"/>
        <v>East</v>
      </c>
      <c r="D152" s="1" t="s">
        <v>31</v>
      </c>
      <c r="E152" s="1" t="s">
        <v>27</v>
      </c>
      <c r="F152" s="3" t="str">
        <f t="shared" si="4"/>
        <v>Furniture</v>
      </c>
      <c r="G152" s="1" t="s">
        <v>24</v>
      </c>
      <c r="H152" s="1" t="s">
        <v>15</v>
      </c>
      <c r="I152" s="2">
        <v>45077</v>
      </c>
      <c r="J152" s="3">
        <v>173</v>
      </c>
      <c r="K152" s="10" cm="1">
        <f t="array" ref="K152">IF(ISBLANK(Table16[[#This Row],[Units Sold]]),AVERAGE(_xlfn._xlws.FILTER(Table16[Units Sold],NOT(ISBLANK(Table16[Units Sold])))),Table16[[#This Row],[Units Sold]])</f>
        <v>173</v>
      </c>
      <c r="L152" s="3">
        <v>385.42</v>
      </c>
      <c r="M152" s="11" cm="1">
        <f t="array" ref="M152">IF(ISBLANK(Table16[[#This Row],[Unit Price]]),AVERAGE(_xlfn._xlws.FILTER(Table16[Unit Price],NOT(ISBLANK(Table16[Unit Price])))),Table16[[#This Row],[Unit Price]])</f>
        <v>385.42</v>
      </c>
      <c r="N152" s="3">
        <v>396.65</v>
      </c>
      <c r="O152" s="11">
        <f>Table16[[#This Row],[Unit sold Filled]]*Table16[[#This Row],[Unit Price Filled]]</f>
        <v>66677.66</v>
      </c>
    </row>
    <row r="153" spans="1:15" x14ac:dyDescent="0.3">
      <c r="A153" s="1" t="s">
        <v>180</v>
      </c>
      <c r="B153" s="1" t="s">
        <v>11</v>
      </c>
      <c r="C153" s="3" t="str">
        <f t="shared" si="5"/>
        <v>East</v>
      </c>
      <c r="D153" s="1" t="s">
        <v>12</v>
      </c>
      <c r="E153" s="1" t="s">
        <v>27</v>
      </c>
      <c r="F153" s="3" t="str">
        <f t="shared" si="4"/>
        <v>Furniture</v>
      </c>
      <c r="G153" s="1" t="s">
        <v>14</v>
      </c>
      <c r="H153" s="1" t="s">
        <v>15</v>
      </c>
      <c r="I153" s="2">
        <v>45078</v>
      </c>
      <c r="J153" s="3">
        <v>260</v>
      </c>
      <c r="K153" s="10" cm="1">
        <f t="array" ref="K153">IF(ISBLANK(Table16[[#This Row],[Units Sold]]),AVERAGE(_xlfn._xlws.FILTER(Table16[Units Sold],NOT(ISBLANK(Table16[Units Sold])))),Table16[[#This Row],[Units Sold]])</f>
        <v>260</v>
      </c>
      <c r="L153" s="3">
        <v>60.99</v>
      </c>
      <c r="M153" s="11" cm="1">
        <f t="array" ref="M153">IF(ISBLANK(Table16[[#This Row],[Unit Price]]),AVERAGE(_xlfn._xlws.FILTER(Table16[Unit Price],NOT(ISBLANK(Table16[Unit Price])))),Table16[[#This Row],[Unit Price]])</f>
        <v>60.99</v>
      </c>
      <c r="N153" s="3">
        <v>388.36</v>
      </c>
      <c r="O153" s="11">
        <f>Table16[[#This Row],[Unit sold Filled]]*Table16[[#This Row],[Unit Price Filled]]</f>
        <v>15857.4</v>
      </c>
    </row>
    <row r="154" spans="1:15" x14ac:dyDescent="0.3">
      <c r="A154" s="1" t="s">
        <v>181</v>
      </c>
      <c r="B154" s="1" t="s">
        <v>22</v>
      </c>
      <c r="C154" s="3" t="str">
        <f t="shared" si="5"/>
        <v>North</v>
      </c>
      <c r="D154" s="1" t="s">
        <v>50</v>
      </c>
      <c r="E154" s="1" t="s">
        <v>27</v>
      </c>
      <c r="F154" s="3" t="str">
        <f t="shared" si="4"/>
        <v>Furniture</v>
      </c>
      <c r="G154" s="1" t="s">
        <v>24</v>
      </c>
      <c r="H154" s="1" t="s">
        <v>15</v>
      </c>
      <c r="I154" s="2">
        <v>45079</v>
      </c>
      <c r="J154" s="3">
        <v>236</v>
      </c>
      <c r="K154" s="10" cm="1">
        <f t="array" ref="K154">IF(ISBLANK(Table16[[#This Row],[Units Sold]]),AVERAGE(_xlfn._xlws.FILTER(Table16[Units Sold],NOT(ISBLANK(Table16[Units Sold])))),Table16[[#This Row],[Units Sold]])</f>
        <v>236</v>
      </c>
      <c r="L154" s="3">
        <v>398.78</v>
      </c>
      <c r="M154" s="11" cm="1">
        <f t="array" ref="M154">IF(ISBLANK(Table16[[#This Row],[Unit Price]]),AVERAGE(_xlfn._xlws.FILTER(Table16[Unit Price],NOT(ISBLANK(Table16[Unit Price])))),Table16[[#This Row],[Unit Price]])</f>
        <v>398.78</v>
      </c>
      <c r="N154" s="3">
        <v>377.04</v>
      </c>
      <c r="O154" s="11">
        <f>Table16[[#This Row],[Unit sold Filled]]*Table16[[#This Row],[Unit Price Filled]]</f>
        <v>94112.079999999987</v>
      </c>
    </row>
    <row r="155" spans="1:15" x14ac:dyDescent="0.3">
      <c r="A155" s="1" t="s">
        <v>182</v>
      </c>
      <c r="B155" s="1" t="s">
        <v>11</v>
      </c>
      <c r="C155" s="3" t="str">
        <f t="shared" si="5"/>
        <v>East</v>
      </c>
      <c r="D155" s="1" t="s">
        <v>26</v>
      </c>
      <c r="E155" s="1" t="s">
        <v>23</v>
      </c>
      <c r="F155" s="3" t="str">
        <f t="shared" si="4"/>
        <v>Clothing</v>
      </c>
      <c r="G155" s="1" t="s">
        <v>14</v>
      </c>
      <c r="H155" s="1" t="s">
        <v>28</v>
      </c>
      <c r="I155" s="2">
        <v>45080</v>
      </c>
      <c r="J155" s="3">
        <v>445</v>
      </c>
      <c r="K155" s="10" cm="1">
        <f t="array" ref="K155">IF(ISBLANK(Table16[[#This Row],[Units Sold]]),AVERAGE(_xlfn._xlws.FILTER(Table16[Units Sold],NOT(ISBLANK(Table16[Units Sold])))),Table16[[#This Row],[Units Sold]])</f>
        <v>445</v>
      </c>
      <c r="L155" s="3">
        <v>459.75</v>
      </c>
      <c r="M155" s="11" cm="1">
        <f t="array" ref="M155">IF(ISBLANK(Table16[[#This Row],[Unit Price]]),AVERAGE(_xlfn._xlws.FILTER(Table16[Unit Price],NOT(ISBLANK(Table16[Unit Price])))),Table16[[#This Row],[Unit Price]])</f>
        <v>459.75</v>
      </c>
      <c r="N155" s="3">
        <v>313.97000000000003</v>
      </c>
      <c r="O155" s="11">
        <f>Table16[[#This Row],[Unit sold Filled]]*Table16[[#This Row],[Unit Price Filled]]</f>
        <v>204588.75</v>
      </c>
    </row>
    <row r="156" spans="1:15" x14ac:dyDescent="0.3">
      <c r="A156" s="1" t="s">
        <v>183</v>
      </c>
      <c r="B156" s="1" t="s">
        <v>22</v>
      </c>
      <c r="C156" s="3" t="str">
        <f t="shared" si="5"/>
        <v>North</v>
      </c>
      <c r="D156" s="1" t="s">
        <v>12</v>
      </c>
      <c r="E156" s="1" t="s">
        <v>23</v>
      </c>
      <c r="F156" s="3" t="str">
        <f t="shared" si="4"/>
        <v>Clothing</v>
      </c>
      <c r="G156" s="1" t="s">
        <v>24</v>
      </c>
      <c r="H156" s="1" t="s">
        <v>15</v>
      </c>
      <c r="I156" s="2">
        <v>45081</v>
      </c>
      <c r="J156" s="3">
        <v>390</v>
      </c>
      <c r="K156" s="10" cm="1">
        <f t="array" ref="K156">IF(ISBLANK(Table16[[#This Row],[Units Sold]]),AVERAGE(_xlfn._xlws.FILTER(Table16[Units Sold],NOT(ISBLANK(Table16[Units Sold])))),Table16[[#This Row],[Units Sold]])</f>
        <v>390</v>
      </c>
      <c r="L156" s="3">
        <v>302.3</v>
      </c>
      <c r="M156" s="11" cm="1">
        <f t="array" ref="M156">IF(ISBLANK(Table16[[#This Row],[Unit Price]]),AVERAGE(_xlfn._xlws.FILTER(Table16[Unit Price],NOT(ISBLANK(Table16[Unit Price])))),Table16[[#This Row],[Unit Price]])</f>
        <v>302.3</v>
      </c>
      <c r="N156" s="3">
        <v>143.22999999999999</v>
      </c>
      <c r="O156" s="11">
        <f>Table16[[#This Row],[Unit sold Filled]]*Table16[[#This Row],[Unit Price Filled]]</f>
        <v>117897</v>
      </c>
    </row>
    <row r="157" spans="1:15" x14ac:dyDescent="0.3">
      <c r="A157" s="1" t="s">
        <v>184</v>
      </c>
      <c r="B157" s="1" t="s">
        <v>48</v>
      </c>
      <c r="C157" s="3" t="str">
        <f t="shared" si="5"/>
        <v>South</v>
      </c>
      <c r="D157" s="1" t="s">
        <v>26</v>
      </c>
      <c r="E157" s="1" t="s">
        <v>27</v>
      </c>
      <c r="F157" s="3" t="str">
        <f t="shared" si="4"/>
        <v>Furniture</v>
      </c>
      <c r="G157" s="1" t="s">
        <v>14</v>
      </c>
      <c r="H157" s="1" t="s">
        <v>20</v>
      </c>
      <c r="I157" s="2">
        <v>45082</v>
      </c>
      <c r="J157" s="3">
        <v>469</v>
      </c>
      <c r="K157" s="10" cm="1">
        <f t="array" ref="K157">IF(ISBLANK(Table16[[#This Row],[Units Sold]]),AVERAGE(_xlfn._xlws.FILTER(Table16[Units Sold],NOT(ISBLANK(Table16[Units Sold])))),Table16[[#This Row],[Units Sold]])</f>
        <v>469</v>
      </c>
      <c r="L157" s="3">
        <v>470.73</v>
      </c>
      <c r="M157" s="11" cm="1">
        <f t="array" ref="M157">IF(ISBLANK(Table16[[#This Row],[Unit Price]]),AVERAGE(_xlfn._xlws.FILTER(Table16[Unit Price],NOT(ISBLANK(Table16[Unit Price])))),Table16[[#This Row],[Unit Price]])</f>
        <v>470.73</v>
      </c>
      <c r="N157" s="3">
        <v>166.03</v>
      </c>
      <c r="O157" s="11">
        <f>Table16[[#This Row],[Unit sold Filled]]*Table16[[#This Row],[Unit Price Filled]]</f>
        <v>220772.37</v>
      </c>
    </row>
    <row r="158" spans="1:15" x14ac:dyDescent="0.3">
      <c r="A158" s="1" t="s">
        <v>185</v>
      </c>
      <c r="B158" s="1" t="s">
        <v>11</v>
      </c>
      <c r="C158" s="3" t="str">
        <f t="shared" si="5"/>
        <v>East</v>
      </c>
      <c r="D158" s="1" t="s">
        <v>31</v>
      </c>
      <c r="E158" s="1" t="s">
        <v>19</v>
      </c>
      <c r="F158" s="3" t="str">
        <f t="shared" si="4"/>
        <v>Food</v>
      </c>
      <c r="G158" s="1" t="s">
        <v>14</v>
      </c>
      <c r="H158" s="1" t="s">
        <v>15</v>
      </c>
      <c r="I158" s="2">
        <v>45083</v>
      </c>
      <c r="J158" s="3">
        <v>16</v>
      </c>
      <c r="K158" s="10" cm="1">
        <f t="array" ref="K158">IF(ISBLANK(Table16[[#This Row],[Units Sold]]),AVERAGE(_xlfn._xlws.FILTER(Table16[Units Sold],NOT(ISBLANK(Table16[Units Sold])))),Table16[[#This Row],[Units Sold]])</f>
        <v>16</v>
      </c>
      <c r="L158" s="1"/>
      <c r="M158" s="11" cm="1">
        <f t="array" ref="M158">IF(ISBLANK(Table16[[#This Row],[Unit Price]]),AVERAGE(_xlfn._xlws.FILTER(Table16[Unit Price],NOT(ISBLANK(Table16[Unit Price])))),Table16[[#This Row],[Unit Price]])</f>
        <v>249.64520588235297</v>
      </c>
      <c r="N158" s="3">
        <v>220.75</v>
      </c>
      <c r="O158" s="11">
        <f>Table16[[#This Row],[Unit sold Filled]]*Table16[[#This Row],[Unit Price Filled]]</f>
        <v>3994.3232941176475</v>
      </c>
    </row>
    <row r="159" spans="1:15" x14ac:dyDescent="0.3">
      <c r="A159" s="1" t="s">
        <v>186</v>
      </c>
      <c r="B159" s="1" t="s">
        <v>48</v>
      </c>
      <c r="C159" s="3" t="str">
        <f t="shared" si="5"/>
        <v>South</v>
      </c>
      <c r="D159" s="1" t="s">
        <v>18</v>
      </c>
      <c r="E159" s="1" t="s">
        <v>42</v>
      </c>
      <c r="F159" s="3" t="str">
        <f t="shared" si="4"/>
        <v>Electronics</v>
      </c>
      <c r="G159" s="1" t="s">
        <v>24</v>
      </c>
      <c r="H159" s="1" t="s">
        <v>20</v>
      </c>
      <c r="I159" s="2">
        <v>45084</v>
      </c>
      <c r="J159" s="3">
        <v>38</v>
      </c>
      <c r="K159" s="10" cm="1">
        <f t="array" ref="K159">IF(ISBLANK(Table16[[#This Row],[Units Sold]]),AVERAGE(_xlfn._xlws.FILTER(Table16[Units Sold],NOT(ISBLANK(Table16[Units Sold])))),Table16[[#This Row],[Units Sold]])</f>
        <v>38</v>
      </c>
      <c r="L159" s="3">
        <v>335.15</v>
      </c>
      <c r="M159" s="11" cm="1">
        <f t="array" ref="M159">IF(ISBLANK(Table16[[#This Row],[Unit Price]]),AVERAGE(_xlfn._xlws.FILTER(Table16[Unit Price],NOT(ISBLANK(Table16[Unit Price])))),Table16[[#This Row],[Unit Price]])</f>
        <v>335.15</v>
      </c>
      <c r="N159" s="3">
        <v>332.55</v>
      </c>
      <c r="O159" s="11">
        <f>Table16[[#This Row],[Unit sold Filled]]*Table16[[#This Row],[Unit Price Filled]]</f>
        <v>12735.699999999999</v>
      </c>
    </row>
    <row r="160" spans="1:15" x14ac:dyDescent="0.3">
      <c r="A160" s="1" t="s">
        <v>187</v>
      </c>
      <c r="B160" s="1" t="s">
        <v>22</v>
      </c>
      <c r="C160" s="3" t="str">
        <f t="shared" si="5"/>
        <v>North</v>
      </c>
      <c r="D160" s="1" t="s">
        <v>31</v>
      </c>
      <c r="E160" s="1"/>
      <c r="F160" s="3" t="str">
        <f t="shared" si="4"/>
        <v>Unknown</v>
      </c>
      <c r="G160" s="1" t="s">
        <v>24</v>
      </c>
      <c r="H160" s="1" t="s">
        <v>28</v>
      </c>
      <c r="I160" s="2">
        <v>45085</v>
      </c>
      <c r="J160" s="3">
        <v>404</v>
      </c>
      <c r="K160" s="10" cm="1">
        <f t="array" ref="K160">IF(ISBLANK(Table16[[#This Row],[Units Sold]]),AVERAGE(_xlfn._xlws.FILTER(Table16[Units Sold],NOT(ISBLANK(Table16[Units Sold])))),Table16[[#This Row],[Units Sold]])</f>
        <v>404</v>
      </c>
      <c r="L160" s="3">
        <v>290.70999999999998</v>
      </c>
      <c r="M160" s="11" cm="1">
        <f t="array" ref="M160">IF(ISBLANK(Table16[[#This Row],[Unit Price]]),AVERAGE(_xlfn._xlws.FILTER(Table16[Unit Price],NOT(ISBLANK(Table16[Unit Price])))),Table16[[#This Row],[Unit Price]])</f>
        <v>290.70999999999998</v>
      </c>
      <c r="N160" s="3">
        <v>29.35</v>
      </c>
      <c r="O160" s="11">
        <f>Table16[[#This Row],[Unit sold Filled]]*Table16[[#This Row],[Unit Price Filled]]</f>
        <v>117446.84</v>
      </c>
    </row>
    <row r="161" spans="1:15" x14ac:dyDescent="0.3">
      <c r="A161" s="1" t="s">
        <v>188</v>
      </c>
      <c r="B161" s="1" t="s">
        <v>17</v>
      </c>
      <c r="C161" s="3" t="str">
        <f t="shared" si="5"/>
        <v>West</v>
      </c>
      <c r="D161" s="1" t="s">
        <v>12</v>
      </c>
      <c r="E161" s="1" t="s">
        <v>19</v>
      </c>
      <c r="F161" s="3" t="str">
        <f t="shared" si="4"/>
        <v>Food</v>
      </c>
      <c r="G161" s="1" t="s">
        <v>14</v>
      </c>
      <c r="H161" s="1" t="s">
        <v>20</v>
      </c>
      <c r="I161" s="2">
        <v>45086</v>
      </c>
      <c r="J161" s="3">
        <v>42</v>
      </c>
      <c r="K161" s="10" cm="1">
        <f t="array" ref="K161">IF(ISBLANK(Table16[[#This Row],[Units Sold]]),AVERAGE(_xlfn._xlws.FILTER(Table16[Units Sold],NOT(ISBLANK(Table16[Units Sold])))),Table16[[#This Row],[Units Sold]])</f>
        <v>42</v>
      </c>
      <c r="L161" s="3">
        <v>177.54</v>
      </c>
      <c r="M161" s="11" cm="1">
        <f t="array" ref="M161">IF(ISBLANK(Table16[[#This Row],[Unit Price]]),AVERAGE(_xlfn._xlws.FILTER(Table16[Unit Price],NOT(ISBLANK(Table16[Unit Price])))),Table16[[#This Row],[Unit Price]])</f>
        <v>177.54</v>
      </c>
      <c r="N161" s="3">
        <v>170.87</v>
      </c>
      <c r="O161" s="11">
        <f>Table16[[#This Row],[Unit sold Filled]]*Table16[[#This Row],[Unit Price Filled]]</f>
        <v>7456.6799999999994</v>
      </c>
    </row>
    <row r="162" spans="1:15" x14ac:dyDescent="0.3">
      <c r="A162" s="1" t="s">
        <v>189</v>
      </c>
      <c r="B162" s="1" t="s">
        <v>11</v>
      </c>
      <c r="C162" s="3" t="str">
        <f t="shared" si="5"/>
        <v>East</v>
      </c>
      <c r="D162" s="1" t="s">
        <v>26</v>
      </c>
      <c r="E162" s="1" t="s">
        <v>27</v>
      </c>
      <c r="F162" s="3" t="str">
        <f t="shared" si="4"/>
        <v>Furniture</v>
      </c>
      <c r="G162" s="1" t="s">
        <v>24</v>
      </c>
      <c r="H162" s="1" t="s">
        <v>20</v>
      </c>
      <c r="I162" s="2">
        <v>45087</v>
      </c>
      <c r="J162" s="3">
        <v>143</v>
      </c>
      <c r="K162" s="10" cm="1">
        <f t="array" ref="K162">IF(ISBLANK(Table16[[#This Row],[Units Sold]]),AVERAGE(_xlfn._xlws.FILTER(Table16[Units Sold],NOT(ISBLANK(Table16[Units Sold])))),Table16[[#This Row],[Units Sold]])</f>
        <v>143</v>
      </c>
      <c r="L162" s="3">
        <v>83.85</v>
      </c>
      <c r="M162" s="11" cm="1">
        <f t="array" ref="M162">IF(ISBLANK(Table16[[#This Row],[Unit Price]]),AVERAGE(_xlfn._xlws.FILTER(Table16[Unit Price],NOT(ISBLANK(Table16[Unit Price])))),Table16[[#This Row],[Unit Price]])</f>
        <v>83.85</v>
      </c>
      <c r="N162" s="3">
        <v>34.880000000000003</v>
      </c>
      <c r="O162" s="11">
        <f>Table16[[#This Row],[Unit sold Filled]]*Table16[[#This Row],[Unit Price Filled]]</f>
        <v>11990.55</v>
      </c>
    </row>
    <row r="163" spans="1:15" x14ac:dyDescent="0.3">
      <c r="A163" s="1" t="s">
        <v>190</v>
      </c>
      <c r="B163" s="1" t="s">
        <v>22</v>
      </c>
      <c r="C163" s="3" t="str">
        <f t="shared" si="5"/>
        <v>North</v>
      </c>
      <c r="D163" s="1" t="s">
        <v>26</v>
      </c>
      <c r="E163" s="1" t="s">
        <v>23</v>
      </c>
      <c r="F163" s="3" t="str">
        <f t="shared" si="4"/>
        <v>Clothing</v>
      </c>
      <c r="G163" s="1" t="s">
        <v>14</v>
      </c>
      <c r="H163" s="1" t="s">
        <v>15</v>
      </c>
      <c r="I163" s="2">
        <v>45088</v>
      </c>
      <c r="J163" s="3">
        <v>376</v>
      </c>
      <c r="K163" s="10" cm="1">
        <f t="array" ref="K163">IF(ISBLANK(Table16[[#This Row],[Units Sold]]),AVERAGE(_xlfn._xlws.FILTER(Table16[Units Sold],NOT(ISBLANK(Table16[Units Sold])))),Table16[[#This Row],[Units Sold]])</f>
        <v>376</v>
      </c>
      <c r="L163" s="3">
        <v>304.45</v>
      </c>
      <c r="M163" s="11" cm="1">
        <f t="array" ref="M163">IF(ISBLANK(Table16[[#This Row],[Unit Price]]),AVERAGE(_xlfn._xlws.FILTER(Table16[Unit Price],NOT(ISBLANK(Table16[Unit Price])))),Table16[[#This Row],[Unit Price]])</f>
        <v>304.45</v>
      </c>
      <c r="N163" s="3">
        <v>206.83</v>
      </c>
      <c r="O163" s="11">
        <f>Table16[[#This Row],[Unit sold Filled]]*Table16[[#This Row],[Unit Price Filled]]</f>
        <v>114473.2</v>
      </c>
    </row>
    <row r="164" spans="1:15" x14ac:dyDescent="0.3">
      <c r="A164" s="1" t="s">
        <v>191</v>
      </c>
      <c r="B164" s="1" t="s">
        <v>17</v>
      </c>
      <c r="C164" s="3" t="str">
        <f t="shared" si="5"/>
        <v>West</v>
      </c>
      <c r="D164" s="1" t="s">
        <v>50</v>
      </c>
      <c r="E164" s="1" t="s">
        <v>42</v>
      </c>
      <c r="F164" s="3" t="str">
        <f t="shared" si="4"/>
        <v>Electronics</v>
      </c>
      <c r="G164" s="1" t="s">
        <v>14</v>
      </c>
      <c r="H164" s="1" t="s">
        <v>15</v>
      </c>
      <c r="I164" s="2">
        <v>45089</v>
      </c>
      <c r="J164" s="3">
        <v>88</v>
      </c>
      <c r="K164" s="10" cm="1">
        <f t="array" ref="K164">IF(ISBLANK(Table16[[#This Row],[Units Sold]]),AVERAGE(_xlfn._xlws.FILTER(Table16[Units Sold],NOT(ISBLANK(Table16[Units Sold])))),Table16[[#This Row],[Units Sold]])</f>
        <v>88</v>
      </c>
      <c r="L164" s="3">
        <v>162.47</v>
      </c>
      <c r="M164" s="11" cm="1">
        <f t="array" ref="M164">IF(ISBLANK(Table16[[#This Row],[Unit Price]]),AVERAGE(_xlfn._xlws.FILTER(Table16[Unit Price],NOT(ISBLANK(Table16[Unit Price])))),Table16[[#This Row],[Unit Price]])</f>
        <v>162.47</v>
      </c>
      <c r="N164" s="3">
        <v>359.76</v>
      </c>
      <c r="O164" s="11">
        <f>Table16[[#This Row],[Unit sold Filled]]*Table16[[#This Row],[Unit Price Filled]]</f>
        <v>14297.36</v>
      </c>
    </row>
    <row r="165" spans="1:15" x14ac:dyDescent="0.3">
      <c r="A165" s="1" t="s">
        <v>192</v>
      </c>
      <c r="B165" s="1" t="s">
        <v>17</v>
      </c>
      <c r="C165" s="3" t="str">
        <f t="shared" si="5"/>
        <v>West</v>
      </c>
      <c r="D165" s="1" t="s">
        <v>26</v>
      </c>
      <c r="E165" s="1" t="s">
        <v>13</v>
      </c>
      <c r="F165" s="3" t="str">
        <f t="shared" si="4"/>
        <v>Beverages</v>
      </c>
      <c r="G165" s="1" t="s">
        <v>14</v>
      </c>
      <c r="H165" s="1" t="s">
        <v>20</v>
      </c>
      <c r="I165" s="2">
        <v>45090</v>
      </c>
      <c r="J165" s="3">
        <v>425</v>
      </c>
      <c r="K165" s="10" cm="1">
        <f t="array" ref="K165">IF(ISBLANK(Table16[[#This Row],[Units Sold]]),AVERAGE(_xlfn._xlws.FILTER(Table16[Units Sold],NOT(ISBLANK(Table16[Units Sold])))),Table16[[#This Row],[Units Sold]])</f>
        <v>425</v>
      </c>
      <c r="L165" s="3">
        <v>433.89</v>
      </c>
      <c r="M165" s="11" cm="1">
        <f t="array" ref="M165">IF(ISBLANK(Table16[[#This Row],[Unit Price]]),AVERAGE(_xlfn._xlws.FILTER(Table16[Unit Price],NOT(ISBLANK(Table16[Unit Price])))),Table16[[#This Row],[Unit Price]])</f>
        <v>433.89</v>
      </c>
      <c r="N165" s="3">
        <v>313.43</v>
      </c>
      <c r="O165" s="11">
        <f>Table16[[#This Row],[Unit sold Filled]]*Table16[[#This Row],[Unit Price Filled]]</f>
        <v>184403.25</v>
      </c>
    </row>
    <row r="166" spans="1:15" x14ac:dyDescent="0.3">
      <c r="A166" s="1" t="s">
        <v>193</v>
      </c>
      <c r="B166" s="1" t="s">
        <v>48</v>
      </c>
      <c r="C166" s="3" t="str">
        <f t="shared" si="5"/>
        <v>South</v>
      </c>
      <c r="D166" s="1" t="s">
        <v>50</v>
      </c>
      <c r="E166" s="1" t="s">
        <v>13</v>
      </c>
      <c r="F166" s="3" t="str">
        <f t="shared" si="4"/>
        <v>Beverages</v>
      </c>
      <c r="G166" s="1" t="s">
        <v>24</v>
      </c>
      <c r="H166" s="1" t="s">
        <v>15</v>
      </c>
      <c r="I166" s="2">
        <v>45091</v>
      </c>
      <c r="J166" s="3">
        <v>444</v>
      </c>
      <c r="K166" s="10" cm="1">
        <f t="array" ref="K166">IF(ISBLANK(Table16[[#This Row],[Units Sold]]),AVERAGE(_xlfn._xlws.FILTER(Table16[Units Sold],NOT(ISBLANK(Table16[Units Sold])))),Table16[[#This Row],[Units Sold]])</f>
        <v>444</v>
      </c>
      <c r="L166" s="3">
        <v>496.7</v>
      </c>
      <c r="M166" s="11" cm="1">
        <f t="array" ref="M166">IF(ISBLANK(Table16[[#This Row],[Unit Price]]),AVERAGE(_xlfn._xlws.FILTER(Table16[Unit Price],NOT(ISBLANK(Table16[Unit Price])))),Table16[[#This Row],[Unit Price]])</f>
        <v>496.7</v>
      </c>
      <c r="N166" s="3">
        <v>92.68</v>
      </c>
      <c r="O166" s="11">
        <f>Table16[[#This Row],[Unit sold Filled]]*Table16[[#This Row],[Unit Price Filled]]</f>
        <v>220534.8</v>
      </c>
    </row>
    <row r="167" spans="1:15" x14ac:dyDescent="0.3">
      <c r="A167" s="1" t="s">
        <v>194</v>
      </c>
      <c r="B167" s="1" t="s">
        <v>22</v>
      </c>
      <c r="C167" s="3" t="str">
        <f t="shared" si="5"/>
        <v>North</v>
      </c>
      <c r="D167" s="1" t="s">
        <v>18</v>
      </c>
      <c r="E167" s="1" t="s">
        <v>19</v>
      </c>
      <c r="F167" s="3" t="str">
        <f t="shared" si="4"/>
        <v>Food</v>
      </c>
      <c r="G167" s="1" t="s">
        <v>14</v>
      </c>
      <c r="H167" s="1" t="s">
        <v>28</v>
      </c>
      <c r="I167" s="2">
        <v>45092</v>
      </c>
      <c r="J167" s="3">
        <v>468</v>
      </c>
      <c r="K167" s="10" cm="1">
        <f t="array" ref="K167">IF(ISBLANK(Table16[[#This Row],[Units Sold]]),AVERAGE(_xlfn._xlws.FILTER(Table16[Units Sold],NOT(ISBLANK(Table16[Units Sold])))),Table16[[#This Row],[Units Sold]])</f>
        <v>468</v>
      </c>
      <c r="L167" s="3">
        <v>377.45</v>
      </c>
      <c r="M167" s="11" cm="1">
        <f t="array" ref="M167">IF(ISBLANK(Table16[[#This Row],[Unit Price]]),AVERAGE(_xlfn._xlws.FILTER(Table16[Unit Price],NOT(ISBLANK(Table16[Unit Price])))),Table16[[#This Row],[Unit Price]])</f>
        <v>377.45</v>
      </c>
      <c r="N167" s="3">
        <v>390.44</v>
      </c>
      <c r="O167" s="11">
        <f>Table16[[#This Row],[Unit sold Filled]]*Table16[[#This Row],[Unit Price Filled]]</f>
        <v>176646.6</v>
      </c>
    </row>
    <row r="168" spans="1:15" x14ac:dyDescent="0.3">
      <c r="A168" s="1" t="s">
        <v>195</v>
      </c>
      <c r="B168" s="1" t="s">
        <v>17</v>
      </c>
      <c r="C168" s="3" t="str">
        <f t="shared" si="5"/>
        <v>West</v>
      </c>
      <c r="D168" s="1" t="s">
        <v>12</v>
      </c>
      <c r="E168" s="1" t="s">
        <v>27</v>
      </c>
      <c r="F168" s="3" t="str">
        <f t="shared" si="4"/>
        <v>Furniture</v>
      </c>
      <c r="G168" s="1" t="s">
        <v>14</v>
      </c>
      <c r="H168" s="1" t="s">
        <v>28</v>
      </c>
      <c r="I168" s="2">
        <v>45093</v>
      </c>
      <c r="J168" s="3">
        <v>67</v>
      </c>
      <c r="K168" s="10" cm="1">
        <f t="array" ref="K168">IF(ISBLANK(Table16[[#This Row],[Units Sold]]),AVERAGE(_xlfn._xlws.FILTER(Table16[Units Sold],NOT(ISBLANK(Table16[Units Sold])))),Table16[[#This Row],[Units Sold]])</f>
        <v>67</v>
      </c>
      <c r="L168" s="3">
        <v>49.79</v>
      </c>
      <c r="M168" s="11" cm="1">
        <f t="array" ref="M168">IF(ISBLANK(Table16[[#This Row],[Unit Price]]),AVERAGE(_xlfn._xlws.FILTER(Table16[Unit Price],NOT(ISBLANK(Table16[Unit Price])))),Table16[[#This Row],[Unit Price]])</f>
        <v>49.79</v>
      </c>
      <c r="N168" s="3">
        <v>267.61</v>
      </c>
      <c r="O168" s="11">
        <f>Table16[[#This Row],[Unit sold Filled]]*Table16[[#This Row],[Unit Price Filled]]</f>
        <v>3335.93</v>
      </c>
    </row>
    <row r="169" spans="1:15" x14ac:dyDescent="0.3">
      <c r="A169" s="1" t="s">
        <v>196</v>
      </c>
      <c r="B169" s="1" t="s">
        <v>11</v>
      </c>
      <c r="C169" s="3" t="str">
        <f t="shared" si="5"/>
        <v>East</v>
      </c>
      <c r="D169" s="1" t="s">
        <v>50</v>
      </c>
      <c r="E169" s="1" t="s">
        <v>42</v>
      </c>
      <c r="F169" s="3" t="str">
        <f t="shared" si="4"/>
        <v>Electronics</v>
      </c>
      <c r="G169" s="1" t="s">
        <v>24</v>
      </c>
      <c r="H169" s="1" t="s">
        <v>15</v>
      </c>
      <c r="I169" s="2">
        <v>45094</v>
      </c>
      <c r="J169" s="3">
        <v>480</v>
      </c>
      <c r="K169" s="10" cm="1">
        <f t="array" ref="K169">IF(ISBLANK(Table16[[#This Row],[Units Sold]]),AVERAGE(_xlfn._xlws.FILTER(Table16[Units Sold],NOT(ISBLANK(Table16[Units Sold])))),Table16[[#This Row],[Units Sold]])</f>
        <v>480</v>
      </c>
      <c r="L169" s="3">
        <v>147.9</v>
      </c>
      <c r="M169" s="11" cm="1">
        <f t="array" ref="M169">IF(ISBLANK(Table16[[#This Row],[Unit Price]]),AVERAGE(_xlfn._xlws.FILTER(Table16[Unit Price],NOT(ISBLANK(Table16[Unit Price])))),Table16[[#This Row],[Unit Price]])</f>
        <v>147.9</v>
      </c>
      <c r="N169" s="3">
        <v>6.15</v>
      </c>
      <c r="O169" s="11">
        <f>Table16[[#This Row],[Unit sold Filled]]*Table16[[#This Row],[Unit Price Filled]]</f>
        <v>70992</v>
      </c>
    </row>
    <row r="170" spans="1:15" x14ac:dyDescent="0.3">
      <c r="A170" s="1" t="s">
        <v>197</v>
      </c>
      <c r="B170" s="1" t="s">
        <v>11</v>
      </c>
      <c r="C170" s="3" t="str">
        <f t="shared" si="5"/>
        <v>East</v>
      </c>
      <c r="D170" s="1" t="s">
        <v>18</v>
      </c>
      <c r="E170" s="1" t="s">
        <v>27</v>
      </c>
      <c r="F170" s="3" t="str">
        <f t="shared" si="4"/>
        <v>Furniture</v>
      </c>
      <c r="G170" s="1" t="s">
        <v>24</v>
      </c>
      <c r="H170" s="1" t="s">
        <v>28</v>
      </c>
      <c r="I170" s="2">
        <v>45095</v>
      </c>
      <c r="J170" s="3">
        <v>35</v>
      </c>
      <c r="K170" s="10" cm="1">
        <f t="array" ref="K170">IF(ISBLANK(Table16[[#This Row],[Units Sold]]),AVERAGE(_xlfn._xlws.FILTER(Table16[Units Sold],NOT(ISBLANK(Table16[Units Sold])))),Table16[[#This Row],[Units Sold]])</f>
        <v>35</v>
      </c>
      <c r="L170" s="3">
        <v>59.01</v>
      </c>
      <c r="M170" s="11" cm="1">
        <f t="array" ref="M170">IF(ISBLANK(Table16[[#This Row],[Unit Price]]),AVERAGE(_xlfn._xlws.FILTER(Table16[Unit Price],NOT(ISBLANK(Table16[Unit Price])))),Table16[[#This Row],[Unit Price]])</f>
        <v>59.01</v>
      </c>
      <c r="N170" s="3">
        <v>103.65</v>
      </c>
      <c r="O170" s="11">
        <f>Table16[[#This Row],[Unit sold Filled]]*Table16[[#This Row],[Unit Price Filled]]</f>
        <v>2065.35</v>
      </c>
    </row>
    <row r="171" spans="1:15" x14ac:dyDescent="0.3">
      <c r="A171" s="1" t="s">
        <v>198</v>
      </c>
      <c r="B171" s="1" t="s">
        <v>48</v>
      </c>
      <c r="C171" s="3" t="str">
        <f t="shared" si="5"/>
        <v>South</v>
      </c>
      <c r="D171" s="1" t="s">
        <v>26</v>
      </c>
      <c r="E171" s="1" t="s">
        <v>42</v>
      </c>
      <c r="F171" s="3" t="str">
        <f t="shared" si="4"/>
        <v>Electronics</v>
      </c>
      <c r="G171" s="1" t="s">
        <v>24</v>
      </c>
      <c r="H171" s="1" t="s">
        <v>15</v>
      </c>
      <c r="I171" s="2">
        <v>45096</v>
      </c>
      <c r="J171" s="3">
        <v>491</v>
      </c>
      <c r="K171" s="10" cm="1">
        <f t="array" ref="K171">IF(ISBLANK(Table16[[#This Row],[Units Sold]]),AVERAGE(_xlfn._xlws.FILTER(Table16[Units Sold],NOT(ISBLANK(Table16[Units Sold])))),Table16[[#This Row],[Units Sold]])</f>
        <v>491</v>
      </c>
      <c r="L171" s="3">
        <v>327</v>
      </c>
      <c r="M171" s="11" cm="1">
        <f t="array" ref="M171">IF(ISBLANK(Table16[[#This Row],[Unit Price]]),AVERAGE(_xlfn._xlws.FILTER(Table16[Unit Price],NOT(ISBLANK(Table16[Unit Price])))),Table16[[#This Row],[Unit Price]])</f>
        <v>327</v>
      </c>
      <c r="N171" s="3">
        <v>105.76</v>
      </c>
      <c r="O171" s="11">
        <f>Table16[[#This Row],[Unit sold Filled]]*Table16[[#This Row],[Unit Price Filled]]</f>
        <v>160557</v>
      </c>
    </row>
    <row r="172" spans="1:15" x14ac:dyDescent="0.3">
      <c r="A172" s="1" t="s">
        <v>199</v>
      </c>
      <c r="B172" s="1" t="s">
        <v>17</v>
      </c>
      <c r="C172" s="3" t="str">
        <f t="shared" si="5"/>
        <v>West</v>
      </c>
      <c r="D172" s="1" t="s">
        <v>26</v>
      </c>
      <c r="E172" s="1" t="s">
        <v>19</v>
      </c>
      <c r="F172" s="3" t="str">
        <f t="shared" si="4"/>
        <v>Food</v>
      </c>
      <c r="G172" s="1" t="s">
        <v>24</v>
      </c>
      <c r="H172" s="1" t="s">
        <v>20</v>
      </c>
      <c r="I172" s="2">
        <v>45097</v>
      </c>
      <c r="J172" s="3">
        <v>439</v>
      </c>
      <c r="K172" s="10" cm="1">
        <f t="array" ref="K172">IF(ISBLANK(Table16[[#This Row],[Units Sold]]),AVERAGE(_xlfn._xlws.FILTER(Table16[Units Sold],NOT(ISBLANK(Table16[Units Sold])))),Table16[[#This Row],[Units Sold]])</f>
        <v>439</v>
      </c>
      <c r="L172" s="3">
        <v>383.77</v>
      </c>
      <c r="M172" s="11" cm="1">
        <f t="array" ref="M172">IF(ISBLANK(Table16[[#This Row],[Unit Price]]),AVERAGE(_xlfn._xlws.FILTER(Table16[Unit Price],NOT(ISBLANK(Table16[Unit Price])))),Table16[[#This Row],[Unit Price]])</f>
        <v>383.77</v>
      </c>
      <c r="N172" s="3">
        <v>29.56</v>
      </c>
      <c r="O172" s="11">
        <f>Table16[[#This Row],[Unit sold Filled]]*Table16[[#This Row],[Unit Price Filled]]</f>
        <v>168475.03</v>
      </c>
    </row>
    <row r="173" spans="1:15" x14ac:dyDescent="0.3">
      <c r="A173" s="1" t="s">
        <v>200</v>
      </c>
      <c r="B173" s="1" t="s">
        <v>22</v>
      </c>
      <c r="C173" s="3" t="str">
        <f t="shared" si="5"/>
        <v>North</v>
      </c>
      <c r="D173" s="1" t="s">
        <v>18</v>
      </c>
      <c r="E173" s="1" t="s">
        <v>19</v>
      </c>
      <c r="F173" s="3" t="str">
        <f t="shared" si="4"/>
        <v>Food</v>
      </c>
      <c r="G173" s="1" t="s">
        <v>14</v>
      </c>
      <c r="H173" s="1" t="s">
        <v>20</v>
      </c>
      <c r="I173" s="2">
        <v>45098</v>
      </c>
      <c r="J173" s="3">
        <v>235</v>
      </c>
      <c r="K173" s="10" cm="1">
        <f t="array" ref="K173">IF(ISBLANK(Table16[[#This Row],[Units Sold]]),AVERAGE(_xlfn._xlws.FILTER(Table16[Units Sold],NOT(ISBLANK(Table16[Units Sold])))),Table16[[#This Row],[Units Sold]])</f>
        <v>235</v>
      </c>
      <c r="L173" s="3">
        <v>463.21</v>
      </c>
      <c r="M173" s="11" cm="1">
        <f t="array" ref="M173">IF(ISBLANK(Table16[[#This Row],[Unit Price]]),AVERAGE(_xlfn._xlws.FILTER(Table16[Unit Price],NOT(ISBLANK(Table16[Unit Price])))),Table16[[#This Row],[Unit Price]])</f>
        <v>463.21</v>
      </c>
      <c r="N173" s="3">
        <v>384.01</v>
      </c>
      <c r="O173" s="11">
        <f>Table16[[#This Row],[Unit sold Filled]]*Table16[[#This Row],[Unit Price Filled]]</f>
        <v>108854.34999999999</v>
      </c>
    </row>
    <row r="174" spans="1:15" x14ac:dyDescent="0.3">
      <c r="A174" s="1" t="s">
        <v>201</v>
      </c>
      <c r="B174" s="1" t="s">
        <v>11</v>
      </c>
      <c r="C174" s="3" t="str">
        <f t="shared" si="5"/>
        <v>East</v>
      </c>
      <c r="D174" s="1" t="s">
        <v>26</v>
      </c>
      <c r="E174" s="1" t="s">
        <v>13</v>
      </c>
      <c r="F174" s="3" t="str">
        <f t="shared" si="4"/>
        <v>Beverages</v>
      </c>
      <c r="G174" s="1" t="s">
        <v>14</v>
      </c>
      <c r="H174" s="1" t="s">
        <v>28</v>
      </c>
      <c r="I174" s="2">
        <v>45099</v>
      </c>
      <c r="J174" s="3">
        <v>294</v>
      </c>
      <c r="K174" s="10" cm="1">
        <f t="array" ref="K174">IF(ISBLANK(Table16[[#This Row],[Units Sold]]),AVERAGE(_xlfn._xlws.FILTER(Table16[Units Sold],NOT(ISBLANK(Table16[Units Sold])))),Table16[[#This Row],[Units Sold]])</f>
        <v>294</v>
      </c>
      <c r="L174" s="3">
        <v>221.9</v>
      </c>
      <c r="M174" s="11" cm="1">
        <f t="array" ref="M174">IF(ISBLANK(Table16[[#This Row],[Unit Price]]),AVERAGE(_xlfn._xlws.FILTER(Table16[Unit Price],NOT(ISBLANK(Table16[Unit Price])))),Table16[[#This Row],[Unit Price]])</f>
        <v>221.9</v>
      </c>
      <c r="N174" s="3">
        <v>192.35</v>
      </c>
      <c r="O174" s="11">
        <f>Table16[[#This Row],[Unit sold Filled]]*Table16[[#This Row],[Unit Price Filled]]</f>
        <v>65238.6</v>
      </c>
    </row>
    <row r="175" spans="1:15" x14ac:dyDescent="0.3">
      <c r="A175" s="1" t="s">
        <v>202</v>
      </c>
      <c r="B175" s="1" t="s">
        <v>17</v>
      </c>
      <c r="C175" s="3" t="str">
        <f t="shared" si="5"/>
        <v>West</v>
      </c>
      <c r="D175" s="1" t="s">
        <v>18</v>
      </c>
      <c r="E175" s="1" t="s">
        <v>27</v>
      </c>
      <c r="F175" s="3" t="str">
        <f t="shared" si="4"/>
        <v>Furniture</v>
      </c>
      <c r="G175" s="1" t="s">
        <v>14</v>
      </c>
      <c r="H175" s="1" t="s">
        <v>15</v>
      </c>
      <c r="I175" s="2">
        <v>45100</v>
      </c>
      <c r="J175" s="3">
        <v>13</v>
      </c>
      <c r="K175" s="10" cm="1">
        <f t="array" ref="K175">IF(ISBLANK(Table16[[#This Row],[Units Sold]]),AVERAGE(_xlfn._xlws.FILTER(Table16[Units Sold],NOT(ISBLANK(Table16[Units Sold])))),Table16[[#This Row],[Units Sold]])</f>
        <v>13</v>
      </c>
      <c r="L175" s="3">
        <v>451.18</v>
      </c>
      <c r="M175" s="11" cm="1">
        <f t="array" ref="M175">IF(ISBLANK(Table16[[#This Row],[Unit Price]]),AVERAGE(_xlfn._xlws.FILTER(Table16[Unit Price],NOT(ISBLANK(Table16[Unit Price])))),Table16[[#This Row],[Unit Price]])</f>
        <v>451.18</v>
      </c>
      <c r="N175" s="3">
        <v>358.53</v>
      </c>
      <c r="O175" s="11">
        <f>Table16[[#This Row],[Unit sold Filled]]*Table16[[#This Row],[Unit Price Filled]]</f>
        <v>5865.34</v>
      </c>
    </row>
    <row r="176" spans="1:15" x14ac:dyDescent="0.3">
      <c r="A176" s="1" t="s">
        <v>203</v>
      </c>
      <c r="B176" s="1" t="s">
        <v>17</v>
      </c>
      <c r="C176" s="3" t="str">
        <f t="shared" si="5"/>
        <v>West</v>
      </c>
      <c r="D176" s="1" t="s">
        <v>50</v>
      </c>
      <c r="E176" s="1" t="s">
        <v>13</v>
      </c>
      <c r="F176" s="3" t="str">
        <f t="shared" si="4"/>
        <v>Beverages</v>
      </c>
      <c r="G176" s="1" t="s">
        <v>14</v>
      </c>
      <c r="H176" s="1" t="s">
        <v>15</v>
      </c>
      <c r="I176" s="2">
        <v>45101</v>
      </c>
      <c r="J176" s="3">
        <v>474</v>
      </c>
      <c r="K176" s="10" cm="1">
        <f t="array" ref="K176">IF(ISBLANK(Table16[[#This Row],[Units Sold]]),AVERAGE(_xlfn._xlws.FILTER(Table16[Units Sold],NOT(ISBLANK(Table16[Units Sold])))),Table16[[#This Row],[Units Sold]])</f>
        <v>474</v>
      </c>
      <c r="L176" s="3">
        <v>439.56</v>
      </c>
      <c r="M176" s="11" cm="1">
        <f t="array" ref="M176">IF(ISBLANK(Table16[[#This Row],[Unit Price]]),AVERAGE(_xlfn._xlws.FILTER(Table16[Unit Price],NOT(ISBLANK(Table16[Unit Price])))),Table16[[#This Row],[Unit Price]])</f>
        <v>439.56</v>
      </c>
      <c r="N176" s="3">
        <v>130.24</v>
      </c>
      <c r="O176" s="11">
        <f>Table16[[#This Row],[Unit sold Filled]]*Table16[[#This Row],[Unit Price Filled]]</f>
        <v>208351.44</v>
      </c>
    </row>
    <row r="177" spans="1:15" x14ac:dyDescent="0.3">
      <c r="A177" s="1" t="s">
        <v>204</v>
      </c>
      <c r="B177" s="1" t="s">
        <v>48</v>
      </c>
      <c r="C177" s="3" t="str">
        <f t="shared" si="5"/>
        <v>South</v>
      </c>
      <c r="D177" s="1" t="s">
        <v>50</v>
      </c>
      <c r="E177" s="1" t="s">
        <v>27</v>
      </c>
      <c r="F177" s="3" t="str">
        <f t="shared" si="4"/>
        <v>Furniture</v>
      </c>
      <c r="G177" s="1" t="s">
        <v>24</v>
      </c>
      <c r="H177" s="1" t="s">
        <v>28</v>
      </c>
      <c r="I177" s="2">
        <v>45102</v>
      </c>
      <c r="J177" s="3">
        <v>108</v>
      </c>
      <c r="K177" s="10" cm="1">
        <f t="array" ref="K177">IF(ISBLANK(Table16[[#This Row],[Units Sold]]),AVERAGE(_xlfn._xlws.FILTER(Table16[Units Sold],NOT(ISBLANK(Table16[Units Sold])))),Table16[[#This Row],[Units Sold]])</f>
        <v>108</v>
      </c>
      <c r="L177" s="3">
        <v>162.01</v>
      </c>
      <c r="M177" s="11" cm="1">
        <f t="array" ref="M177">IF(ISBLANK(Table16[[#This Row],[Unit Price]]),AVERAGE(_xlfn._xlws.FILTER(Table16[Unit Price],NOT(ISBLANK(Table16[Unit Price])))),Table16[[#This Row],[Unit Price]])</f>
        <v>162.01</v>
      </c>
      <c r="N177" s="3">
        <v>51.84</v>
      </c>
      <c r="O177" s="11">
        <f>Table16[[#This Row],[Unit sold Filled]]*Table16[[#This Row],[Unit Price Filled]]</f>
        <v>17497.079999999998</v>
      </c>
    </row>
    <row r="178" spans="1:15" x14ac:dyDescent="0.3">
      <c r="A178" s="1" t="s">
        <v>205</v>
      </c>
      <c r="B178" s="1" t="s">
        <v>11</v>
      </c>
      <c r="C178" s="3" t="str">
        <f t="shared" si="5"/>
        <v>East</v>
      </c>
      <c r="D178" s="1" t="s">
        <v>18</v>
      </c>
      <c r="E178" s="1" t="s">
        <v>13</v>
      </c>
      <c r="F178" s="3" t="str">
        <f t="shared" si="4"/>
        <v>Beverages</v>
      </c>
      <c r="G178" s="1" t="s">
        <v>14</v>
      </c>
      <c r="H178" s="1" t="s">
        <v>20</v>
      </c>
      <c r="I178" s="2">
        <v>45103</v>
      </c>
      <c r="J178" s="3">
        <v>406</v>
      </c>
      <c r="K178" s="10" cm="1">
        <f t="array" ref="K178">IF(ISBLANK(Table16[[#This Row],[Units Sold]]),AVERAGE(_xlfn._xlws.FILTER(Table16[Units Sold],NOT(ISBLANK(Table16[Units Sold])))),Table16[[#This Row],[Units Sold]])</f>
        <v>406</v>
      </c>
      <c r="L178" s="3">
        <v>435.11</v>
      </c>
      <c r="M178" s="11" cm="1">
        <f t="array" ref="M178">IF(ISBLANK(Table16[[#This Row],[Unit Price]]),AVERAGE(_xlfn._xlws.FILTER(Table16[Unit Price],NOT(ISBLANK(Table16[Unit Price])))),Table16[[#This Row],[Unit Price]])</f>
        <v>435.11</v>
      </c>
      <c r="N178" s="3">
        <v>190.79</v>
      </c>
      <c r="O178" s="11">
        <f>Table16[[#This Row],[Unit sold Filled]]*Table16[[#This Row],[Unit Price Filled]]</f>
        <v>176654.66</v>
      </c>
    </row>
    <row r="179" spans="1:15" x14ac:dyDescent="0.3">
      <c r="A179" s="1" t="s">
        <v>206</v>
      </c>
      <c r="B179" s="1" t="s">
        <v>11</v>
      </c>
      <c r="C179" s="3" t="str">
        <f t="shared" si="5"/>
        <v>East</v>
      </c>
      <c r="D179" s="1" t="s">
        <v>50</v>
      </c>
      <c r="E179" s="1" t="s">
        <v>23</v>
      </c>
      <c r="F179" s="3" t="str">
        <f t="shared" si="4"/>
        <v>Clothing</v>
      </c>
      <c r="G179" s="1" t="s">
        <v>14</v>
      </c>
      <c r="H179" s="1" t="s">
        <v>28</v>
      </c>
      <c r="I179" s="2">
        <v>45104</v>
      </c>
      <c r="J179" s="3">
        <v>498</v>
      </c>
      <c r="K179" s="10" cm="1">
        <f t="array" ref="K179">IF(ISBLANK(Table16[[#This Row],[Units Sold]]),AVERAGE(_xlfn._xlws.FILTER(Table16[Units Sold],NOT(ISBLANK(Table16[Units Sold])))),Table16[[#This Row],[Units Sold]])</f>
        <v>498</v>
      </c>
      <c r="L179" s="3">
        <v>190.96</v>
      </c>
      <c r="M179" s="11" cm="1">
        <f t="array" ref="M179">IF(ISBLANK(Table16[[#This Row],[Unit Price]]),AVERAGE(_xlfn._xlws.FILTER(Table16[Unit Price],NOT(ISBLANK(Table16[Unit Price])))),Table16[[#This Row],[Unit Price]])</f>
        <v>190.96</v>
      </c>
      <c r="N179" s="3">
        <v>47.35</v>
      </c>
      <c r="O179" s="11">
        <f>Table16[[#This Row],[Unit sold Filled]]*Table16[[#This Row],[Unit Price Filled]]</f>
        <v>95098.08</v>
      </c>
    </row>
    <row r="180" spans="1:15" x14ac:dyDescent="0.3">
      <c r="A180" s="1" t="s">
        <v>207</v>
      </c>
      <c r="B180" s="1" t="s">
        <v>22</v>
      </c>
      <c r="C180" s="3" t="str">
        <f t="shared" si="5"/>
        <v>North</v>
      </c>
      <c r="D180" s="1" t="s">
        <v>50</v>
      </c>
      <c r="E180" s="1" t="s">
        <v>23</v>
      </c>
      <c r="F180" s="3" t="str">
        <f t="shared" si="4"/>
        <v>Clothing</v>
      </c>
      <c r="G180" s="1" t="s">
        <v>24</v>
      </c>
      <c r="H180" s="1" t="s">
        <v>20</v>
      </c>
      <c r="I180" s="2">
        <v>45105</v>
      </c>
      <c r="J180" s="3">
        <v>48</v>
      </c>
      <c r="K180" s="10" cm="1">
        <f t="array" ref="K180">IF(ISBLANK(Table16[[#This Row],[Units Sold]]),AVERAGE(_xlfn._xlws.FILTER(Table16[Units Sold],NOT(ISBLANK(Table16[Units Sold])))),Table16[[#This Row],[Units Sold]])</f>
        <v>48</v>
      </c>
      <c r="L180" s="3">
        <v>151.94999999999999</v>
      </c>
      <c r="M180" s="11" cm="1">
        <f t="array" ref="M180">IF(ISBLANK(Table16[[#This Row],[Unit Price]]),AVERAGE(_xlfn._xlws.FILTER(Table16[Unit Price],NOT(ISBLANK(Table16[Unit Price])))),Table16[[#This Row],[Unit Price]])</f>
        <v>151.94999999999999</v>
      </c>
      <c r="N180" s="3">
        <v>195.43</v>
      </c>
      <c r="O180" s="11">
        <f>Table16[[#This Row],[Unit sold Filled]]*Table16[[#This Row],[Unit Price Filled]]</f>
        <v>7293.5999999999995</v>
      </c>
    </row>
    <row r="181" spans="1:15" x14ac:dyDescent="0.3">
      <c r="A181" s="1" t="s">
        <v>208</v>
      </c>
      <c r="B181" s="1" t="s">
        <v>11</v>
      </c>
      <c r="C181" s="3" t="str">
        <f t="shared" si="5"/>
        <v>East</v>
      </c>
      <c r="D181" s="1" t="s">
        <v>50</v>
      </c>
      <c r="E181" s="1" t="s">
        <v>23</v>
      </c>
      <c r="F181" s="3" t="str">
        <f t="shared" si="4"/>
        <v>Clothing</v>
      </c>
      <c r="G181" s="1" t="s">
        <v>14</v>
      </c>
      <c r="H181" s="1" t="s">
        <v>15</v>
      </c>
      <c r="I181" s="2">
        <v>45106</v>
      </c>
      <c r="J181" s="3">
        <v>280</v>
      </c>
      <c r="K181" s="10" cm="1">
        <f t="array" ref="K181">IF(ISBLANK(Table16[[#This Row],[Units Sold]]),AVERAGE(_xlfn._xlws.FILTER(Table16[Units Sold],NOT(ISBLANK(Table16[Units Sold])))),Table16[[#This Row],[Units Sold]])</f>
        <v>280</v>
      </c>
      <c r="L181" s="3">
        <v>326.29000000000002</v>
      </c>
      <c r="M181" s="11" cm="1">
        <f t="array" ref="M181">IF(ISBLANK(Table16[[#This Row],[Unit Price]]),AVERAGE(_xlfn._xlws.FILTER(Table16[Unit Price],NOT(ISBLANK(Table16[Unit Price])))),Table16[[#This Row],[Unit Price]])</f>
        <v>326.29000000000002</v>
      </c>
      <c r="N181" s="3">
        <v>368.28</v>
      </c>
      <c r="O181" s="11">
        <f>Table16[[#This Row],[Unit sold Filled]]*Table16[[#This Row],[Unit Price Filled]]</f>
        <v>91361.200000000012</v>
      </c>
    </row>
    <row r="182" spans="1:15" x14ac:dyDescent="0.3">
      <c r="A182" s="1" t="s">
        <v>209</v>
      </c>
      <c r="B182" s="1" t="s">
        <v>22</v>
      </c>
      <c r="C182" s="3" t="str">
        <f t="shared" si="5"/>
        <v>North</v>
      </c>
      <c r="D182" s="1" t="s">
        <v>31</v>
      </c>
      <c r="E182" s="1" t="s">
        <v>23</v>
      </c>
      <c r="F182" s="3" t="str">
        <f t="shared" si="4"/>
        <v>Clothing</v>
      </c>
      <c r="G182" s="1" t="s">
        <v>14</v>
      </c>
      <c r="H182" s="1" t="s">
        <v>20</v>
      </c>
      <c r="I182" s="2">
        <v>45107</v>
      </c>
      <c r="J182" s="3">
        <v>384</v>
      </c>
      <c r="K182" s="10" cm="1">
        <f t="array" ref="K182">IF(ISBLANK(Table16[[#This Row],[Units Sold]]),AVERAGE(_xlfn._xlws.FILTER(Table16[Units Sold],NOT(ISBLANK(Table16[Units Sold])))),Table16[[#This Row],[Units Sold]])</f>
        <v>384</v>
      </c>
      <c r="L182" s="3">
        <v>167.55</v>
      </c>
      <c r="M182" s="11" cm="1">
        <f t="array" ref="M182">IF(ISBLANK(Table16[[#This Row],[Unit Price]]),AVERAGE(_xlfn._xlws.FILTER(Table16[Unit Price],NOT(ISBLANK(Table16[Unit Price])))),Table16[[#This Row],[Unit Price]])</f>
        <v>167.55</v>
      </c>
      <c r="N182" s="3">
        <v>209.27</v>
      </c>
      <c r="O182" s="11">
        <f>Table16[[#This Row],[Unit sold Filled]]*Table16[[#This Row],[Unit Price Filled]]</f>
        <v>64339.200000000004</v>
      </c>
    </row>
    <row r="183" spans="1:15" x14ac:dyDescent="0.3">
      <c r="A183" s="1" t="s">
        <v>210</v>
      </c>
      <c r="B183" s="1" t="s">
        <v>11</v>
      </c>
      <c r="C183" s="3" t="str">
        <f t="shared" si="5"/>
        <v>East</v>
      </c>
      <c r="D183" s="1" t="s">
        <v>12</v>
      </c>
      <c r="E183" s="1" t="s">
        <v>42</v>
      </c>
      <c r="F183" s="3" t="str">
        <f t="shared" si="4"/>
        <v>Electronics</v>
      </c>
      <c r="G183" s="1" t="s">
        <v>14</v>
      </c>
      <c r="H183" s="1" t="s">
        <v>28</v>
      </c>
      <c r="I183" s="2">
        <v>45108</v>
      </c>
      <c r="J183" s="3">
        <v>294</v>
      </c>
      <c r="K183" s="10" cm="1">
        <f t="array" ref="K183">IF(ISBLANK(Table16[[#This Row],[Units Sold]]),AVERAGE(_xlfn._xlws.FILTER(Table16[Units Sold],NOT(ISBLANK(Table16[Units Sold])))),Table16[[#This Row],[Units Sold]])</f>
        <v>294</v>
      </c>
      <c r="L183" s="3">
        <v>316.95</v>
      </c>
      <c r="M183" s="11" cm="1">
        <f t="array" ref="M183">IF(ISBLANK(Table16[[#This Row],[Unit Price]]),AVERAGE(_xlfn._xlws.FILTER(Table16[Unit Price],NOT(ISBLANK(Table16[Unit Price])))),Table16[[#This Row],[Unit Price]])</f>
        <v>316.95</v>
      </c>
      <c r="N183" s="3">
        <v>247.37</v>
      </c>
      <c r="O183" s="11">
        <f>Table16[[#This Row],[Unit sold Filled]]*Table16[[#This Row],[Unit Price Filled]]</f>
        <v>93183.3</v>
      </c>
    </row>
    <row r="184" spans="1:15" x14ac:dyDescent="0.3">
      <c r="A184" s="1" t="s">
        <v>211</v>
      </c>
      <c r="B184" s="1" t="s">
        <v>48</v>
      </c>
      <c r="C184" s="3" t="str">
        <f t="shared" si="5"/>
        <v>South</v>
      </c>
      <c r="D184" s="1" t="s">
        <v>26</v>
      </c>
      <c r="E184" s="1" t="s">
        <v>23</v>
      </c>
      <c r="F184" s="3" t="str">
        <f t="shared" si="4"/>
        <v>Clothing</v>
      </c>
      <c r="G184" s="1" t="s">
        <v>14</v>
      </c>
      <c r="H184" s="1" t="s">
        <v>15</v>
      </c>
      <c r="I184" s="2">
        <v>45109</v>
      </c>
      <c r="J184" s="3">
        <v>166</v>
      </c>
      <c r="K184" s="10" cm="1">
        <f t="array" ref="K184">IF(ISBLANK(Table16[[#This Row],[Units Sold]]),AVERAGE(_xlfn._xlws.FILTER(Table16[Units Sold],NOT(ISBLANK(Table16[Units Sold])))),Table16[[#This Row],[Units Sold]])</f>
        <v>166</v>
      </c>
      <c r="L184" s="3">
        <v>306.87</v>
      </c>
      <c r="M184" s="11" cm="1">
        <f t="array" ref="M184">IF(ISBLANK(Table16[[#This Row],[Unit Price]]),AVERAGE(_xlfn._xlws.FILTER(Table16[Unit Price],NOT(ISBLANK(Table16[Unit Price])))),Table16[[#This Row],[Unit Price]])</f>
        <v>306.87</v>
      </c>
      <c r="N184" s="3">
        <v>64.34</v>
      </c>
      <c r="O184" s="11">
        <f>Table16[[#This Row],[Unit sold Filled]]*Table16[[#This Row],[Unit Price Filled]]</f>
        <v>50940.42</v>
      </c>
    </row>
    <row r="185" spans="1:15" x14ac:dyDescent="0.3">
      <c r="A185" s="1" t="s">
        <v>212</v>
      </c>
      <c r="B185" s="1" t="s">
        <v>11</v>
      </c>
      <c r="C185" s="3" t="str">
        <f t="shared" si="5"/>
        <v>East</v>
      </c>
      <c r="D185" s="1" t="s">
        <v>31</v>
      </c>
      <c r="E185" s="1" t="s">
        <v>19</v>
      </c>
      <c r="F185" s="3" t="str">
        <f t="shared" si="4"/>
        <v>Food</v>
      </c>
      <c r="G185" s="1" t="s">
        <v>14</v>
      </c>
      <c r="H185" s="1" t="s">
        <v>28</v>
      </c>
      <c r="I185" s="2">
        <v>45110</v>
      </c>
      <c r="J185" s="3">
        <v>84</v>
      </c>
      <c r="K185" s="10" cm="1">
        <f t="array" ref="K185">IF(ISBLANK(Table16[[#This Row],[Units Sold]]),AVERAGE(_xlfn._xlws.FILTER(Table16[Units Sold],NOT(ISBLANK(Table16[Units Sold])))),Table16[[#This Row],[Units Sold]])</f>
        <v>84</v>
      </c>
      <c r="L185" s="3">
        <v>283.89999999999998</v>
      </c>
      <c r="M185" s="11" cm="1">
        <f t="array" ref="M185">IF(ISBLANK(Table16[[#This Row],[Unit Price]]),AVERAGE(_xlfn._xlws.FILTER(Table16[Unit Price],NOT(ISBLANK(Table16[Unit Price])))),Table16[[#This Row],[Unit Price]])</f>
        <v>283.89999999999998</v>
      </c>
      <c r="N185" s="3">
        <v>19.41</v>
      </c>
      <c r="O185" s="11">
        <f>Table16[[#This Row],[Unit sold Filled]]*Table16[[#This Row],[Unit Price Filled]]</f>
        <v>23847.599999999999</v>
      </c>
    </row>
    <row r="186" spans="1:15" x14ac:dyDescent="0.3">
      <c r="A186" s="1" t="s">
        <v>213</v>
      </c>
      <c r="B186" s="1" t="s">
        <v>22</v>
      </c>
      <c r="C186" s="3" t="str">
        <f t="shared" si="5"/>
        <v>North</v>
      </c>
      <c r="D186" s="1" t="s">
        <v>50</v>
      </c>
      <c r="E186" s="1" t="s">
        <v>19</v>
      </c>
      <c r="F186" s="3" t="str">
        <f t="shared" si="4"/>
        <v>Food</v>
      </c>
      <c r="G186" s="1" t="s">
        <v>14</v>
      </c>
      <c r="H186" s="1" t="s">
        <v>28</v>
      </c>
      <c r="I186" s="2">
        <v>45111</v>
      </c>
      <c r="J186" s="3">
        <v>381</v>
      </c>
      <c r="K186" s="10" cm="1">
        <f t="array" ref="K186">IF(ISBLANK(Table16[[#This Row],[Units Sold]]),AVERAGE(_xlfn._xlws.FILTER(Table16[Units Sold],NOT(ISBLANK(Table16[Units Sold])))),Table16[[#This Row],[Units Sold]])</f>
        <v>381</v>
      </c>
      <c r="L186" s="3">
        <v>193.31</v>
      </c>
      <c r="M186" s="11" cm="1">
        <f t="array" ref="M186">IF(ISBLANK(Table16[[#This Row],[Unit Price]]),AVERAGE(_xlfn._xlws.FILTER(Table16[Unit Price],NOT(ISBLANK(Table16[Unit Price])))),Table16[[#This Row],[Unit Price]])</f>
        <v>193.31</v>
      </c>
      <c r="N186" s="3">
        <v>46.1</v>
      </c>
      <c r="O186" s="11">
        <f>Table16[[#This Row],[Unit sold Filled]]*Table16[[#This Row],[Unit Price Filled]]</f>
        <v>73651.11</v>
      </c>
    </row>
    <row r="187" spans="1:15" x14ac:dyDescent="0.3">
      <c r="A187" s="1" t="s">
        <v>214</v>
      </c>
      <c r="B187" s="1" t="s">
        <v>22</v>
      </c>
      <c r="C187" s="3" t="str">
        <f t="shared" si="5"/>
        <v>North</v>
      </c>
      <c r="D187" s="1" t="s">
        <v>18</v>
      </c>
      <c r="E187" s="1" t="s">
        <v>42</v>
      </c>
      <c r="F187" s="3" t="str">
        <f t="shared" si="4"/>
        <v>Electronics</v>
      </c>
      <c r="G187" s="1" t="s">
        <v>24</v>
      </c>
      <c r="H187" s="1" t="s">
        <v>20</v>
      </c>
      <c r="I187" s="2">
        <v>45112</v>
      </c>
      <c r="J187" s="3">
        <v>297</v>
      </c>
      <c r="K187" s="10" cm="1">
        <f t="array" ref="K187">IF(ISBLANK(Table16[[#This Row],[Units Sold]]),AVERAGE(_xlfn._xlws.FILTER(Table16[Units Sold],NOT(ISBLANK(Table16[Units Sold])))),Table16[[#This Row],[Units Sold]])</f>
        <v>297</v>
      </c>
      <c r="L187" s="3">
        <v>276.51</v>
      </c>
      <c r="M187" s="11" cm="1">
        <f t="array" ref="M187">IF(ISBLANK(Table16[[#This Row],[Unit Price]]),AVERAGE(_xlfn._xlws.FILTER(Table16[Unit Price],NOT(ISBLANK(Table16[Unit Price])))),Table16[[#This Row],[Unit Price]])</f>
        <v>276.51</v>
      </c>
      <c r="N187" s="3">
        <v>240.22</v>
      </c>
      <c r="O187" s="11">
        <f>Table16[[#This Row],[Unit sold Filled]]*Table16[[#This Row],[Unit Price Filled]]</f>
        <v>82123.47</v>
      </c>
    </row>
    <row r="188" spans="1:15" x14ac:dyDescent="0.3">
      <c r="A188" s="1" t="s">
        <v>215</v>
      </c>
      <c r="B188" s="1" t="s">
        <v>48</v>
      </c>
      <c r="C188" s="3" t="str">
        <f t="shared" si="5"/>
        <v>South</v>
      </c>
      <c r="D188" s="1" t="s">
        <v>50</v>
      </c>
      <c r="E188" s="1" t="s">
        <v>23</v>
      </c>
      <c r="F188" s="3" t="str">
        <f t="shared" si="4"/>
        <v>Clothing</v>
      </c>
      <c r="G188" s="1" t="s">
        <v>24</v>
      </c>
      <c r="H188" s="1" t="s">
        <v>28</v>
      </c>
      <c r="I188" s="2">
        <v>45113</v>
      </c>
      <c r="J188" s="3">
        <v>139</v>
      </c>
      <c r="K188" s="10" cm="1">
        <f t="array" ref="K188">IF(ISBLANK(Table16[[#This Row],[Units Sold]]),AVERAGE(_xlfn._xlws.FILTER(Table16[Units Sold],NOT(ISBLANK(Table16[Units Sold])))),Table16[[#This Row],[Units Sold]])</f>
        <v>139</v>
      </c>
      <c r="L188" s="3">
        <v>300.26</v>
      </c>
      <c r="M188" s="11" cm="1">
        <f t="array" ref="M188">IF(ISBLANK(Table16[[#This Row],[Unit Price]]),AVERAGE(_xlfn._xlws.FILTER(Table16[Unit Price],NOT(ISBLANK(Table16[Unit Price])))),Table16[[#This Row],[Unit Price]])</f>
        <v>300.26</v>
      </c>
      <c r="N188" s="3">
        <v>39.81</v>
      </c>
      <c r="O188" s="11">
        <f>Table16[[#This Row],[Unit sold Filled]]*Table16[[#This Row],[Unit Price Filled]]</f>
        <v>41736.14</v>
      </c>
    </row>
    <row r="189" spans="1:15" x14ac:dyDescent="0.3">
      <c r="A189" s="1" t="s">
        <v>216</v>
      </c>
      <c r="B189" s="1" t="s">
        <v>11</v>
      </c>
      <c r="C189" s="3" t="str">
        <f t="shared" si="5"/>
        <v>East</v>
      </c>
      <c r="D189" s="1" t="s">
        <v>12</v>
      </c>
      <c r="E189" s="1" t="s">
        <v>23</v>
      </c>
      <c r="F189" s="3" t="str">
        <f t="shared" si="4"/>
        <v>Clothing</v>
      </c>
      <c r="G189" s="1" t="s">
        <v>14</v>
      </c>
      <c r="H189" s="1" t="s">
        <v>20</v>
      </c>
      <c r="I189" s="2">
        <v>45114</v>
      </c>
      <c r="J189" s="3">
        <v>184</v>
      </c>
      <c r="K189" s="10" cm="1">
        <f t="array" ref="K189">IF(ISBLANK(Table16[[#This Row],[Units Sold]]),AVERAGE(_xlfn._xlws.FILTER(Table16[Units Sold],NOT(ISBLANK(Table16[Units Sold])))),Table16[[#This Row],[Units Sold]])</f>
        <v>184</v>
      </c>
      <c r="L189" s="3">
        <v>275.12</v>
      </c>
      <c r="M189" s="11" cm="1">
        <f t="array" ref="M189">IF(ISBLANK(Table16[[#This Row],[Unit Price]]),AVERAGE(_xlfn._xlws.FILTER(Table16[Unit Price],NOT(ISBLANK(Table16[Unit Price])))),Table16[[#This Row],[Unit Price]])</f>
        <v>275.12</v>
      </c>
      <c r="N189" s="3">
        <v>151.65</v>
      </c>
      <c r="O189" s="11">
        <f>Table16[[#This Row],[Unit sold Filled]]*Table16[[#This Row],[Unit Price Filled]]</f>
        <v>50622.080000000002</v>
      </c>
    </row>
    <row r="190" spans="1:15" x14ac:dyDescent="0.3">
      <c r="A190" s="1" t="s">
        <v>217</v>
      </c>
      <c r="B190" s="1" t="s">
        <v>11</v>
      </c>
      <c r="C190" s="3" t="str">
        <f t="shared" si="5"/>
        <v>East</v>
      </c>
      <c r="D190" s="1" t="s">
        <v>50</v>
      </c>
      <c r="E190" s="1" t="s">
        <v>23</v>
      </c>
      <c r="F190" s="3" t="str">
        <f t="shared" si="4"/>
        <v>Clothing</v>
      </c>
      <c r="G190" s="1" t="s">
        <v>14</v>
      </c>
      <c r="H190" s="1" t="s">
        <v>15</v>
      </c>
      <c r="I190" s="2">
        <v>45115</v>
      </c>
      <c r="J190" s="3">
        <v>471</v>
      </c>
      <c r="K190" s="10" cm="1">
        <f t="array" ref="K190">IF(ISBLANK(Table16[[#This Row],[Units Sold]]),AVERAGE(_xlfn._xlws.FILTER(Table16[Units Sold],NOT(ISBLANK(Table16[Units Sold])))),Table16[[#This Row],[Units Sold]])</f>
        <v>471</v>
      </c>
      <c r="L190" s="3">
        <v>224.99</v>
      </c>
      <c r="M190" s="11" cm="1">
        <f t="array" ref="M190">IF(ISBLANK(Table16[[#This Row],[Unit Price]]),AVERAGE(_xlfn._xlws.FILTER(Table16[Unit Price],NOT(ISBLANK(Table16[Unit Price])))),Table16[[#This Row],[Unit Price]])</f>
        <v>224.99</v>
      </c>
      <c r="N190" s="3">
        <v>220.94</v>
      </c>
      <c r="O190" s="11">
        <f>Table16[[#This Row],[Unit sold Filled]]*Table16[[#This Row],[Unit Price Filled]]</f>
        <v>105970.29000000001</v>
      </c>
    </row>
    <row r="191" spans="1:15" x14ac:dyDescent="0.3">
      <c r="A191" s="1" t="s">
        <v>218</v>
      </c>
      <c r="B191" s="1" t="s">
        <v>48</v>
      </c>
      <c r="C191" s="3" t="str">
        <f t="shared" si="5"/>
        <v>South</v>
      </c>
      <c r="D191" s="1" t="s">
        <v>18</v>
      </c>
      <c r="E191" s="1" t="s">
        <v>13</v>
      </c>
      <c r="F191" s="3" t="str">
        <f t="shared" si="4"/>
        <v>Beverages</v>
      </c>
      <c r="G191" s="1" t="s">
        <v>24</v>
      </c>
      <c r="H191" s="1" t="s">
        <v>20</v>
      </c>
      <c r="I191" s="2">
        <v>45116</v>
      </c>
      <c r="J191" s="3">
        <v>93</v>
      </c>
      <c r="K191" s="10" cm="1">
        <f t="array" ref="K191">IF(ISBLANK(Table16[[#This Row],[Units Sold]]),AVERAGE(_xlfn._xlws.FILTER(Table16[Units Sold],NOT(ISBLANK(Table16[Units Sold])))),Table16[[#This Row],[Units Sold]])</f>
        <v>93</v>
      </c>
      <c r="L191" s="3">
        <v>12.26</v>
      </c>
      <c r="M191" s="11" cm="1">
        <f t="array" ref="M191">IF(ISBLANK(Table16[[#This Row],[Unit Price]]),AVERAGE(_xlfn._xlws.FILTER(Table16[Unit Price],NOT(ISBLANK(Table16[Unit Price])))),Table16[[#This Row],[Unit Price]])</f>
        <v>12.26</v>
      </c>
      <c r="N191" s="3">
        <v>156.68</v>
      </c>
      <c r="O191" s="11">
        <f>Table16[[#This Row],[Unit sold Filled]]*Table16[[#This Row],[Unit Price Filled]]</f>
        <v>1140.18</v>
      </c>
    </row>
    <row r="192" spans="1:15" x14ac:dyDescent="0.3">
      <c r="A192" s="1" t="s">
        <v>219</v>
      </c>
      <c r="B192" s="1" t="s">
        <v>11</v>
      </c>
      <c r="C192" s="3" t="str">
        <f t="shared" si="5"/>
        <v>East</v>
      </c>
      <c r="D192" s="1" t="s">
        <v>12</v>
      </c>
      <c r="E192" s="1" t="s">
        <v>27</v>
      </c>
      <c r="F192" s="3" t="str">
        <f t="shared" si="4"/>
        <v>Furniture</v>
      </c>
      <c r="G192" s="1" t="s">
        <v>14</v>
      </c>
      <c r="H192" s="1" t="s">
        <v>15</v>
      </c>
      <c r="I192" s="2">
        <v>45117</v>
      </c>
      <c r="J192" s="3">
        <v>31</v>
      </c>
      <c r="K192" s="10" cm="1">
        <f t="array" ref="K192">IF(ISBLANK(Table16[[#This Row],[Units Sold]]),AVERAGE(_xlfn._xlws.FILTER(Table16[Units Sold],NOT(ISBLANK(Table16[Units Sold])))),Table16[[#This Row],[Units Sold]])</f>
        <v>31</v>
      </c>
      <c r="L192" s="3">
        <v>295.60000000000002</v>
      </c>
      <c r="M192" s="11" cm="1">
        <f t="array" ref="M192">IF(ISBLANK(Table16[[#This Row],[Unit Price]]),AVERAGE(_xlfn._xlws.FILTER(Table16[Unit Price],NOT(ISBLANK(Table16[Unit Price])))),Table16[[#This Row],[Unit Price]])</f>
        <v>295.60000000000002</v>
      </c>
      <c r="N192" s="3">
        <v>67.150000000000006</v>
      </c>
      <c r="O192" s="11">
        <f>Table16[[#This Row],[Unit sold Filled]]*Table16[[#This Row],[Unit Price Filled]]</f>
        <v>9163.6</v>
      </c>
    </row>
    <row r="193" spans="1:15" x14ac:dyDescent="0.3">
      <c r="A193" s="1" t="s">
        <v>220</v>
      </c>
      <c r="B193" s="1" t="s">
        <v>11</v>
      </c>
      <c r="C193" s="3" t="str">
        <f t="shared" si="5"/>
        <v>East</v>
      </c>
      <c r="D193" s="1" t="s">
        <v>50</v>
      </c>
      <c r="E193" s="1" t="s">
        <v>13</v>
      </c>
      <c r="F193" s="3" t="str">
        <f t="shared" si="4"/>
        <v>Beverages</v>
      </c>
      <c r="G193" s="1" t="s">
        <v>14</v>
      </c>
      <c r="H193" s="1" t="s">
        <v>20</v>
      </c>
      <c r="I193" s="2">
        <v>45118</v>
      </c>
      <c r="J193" s="3">
        <v>468</v>
      </c>
      <c r="K193" s="10" cm="1">
        <f t="array" ref="K193">IF(ISBLANK(Table16[[#This Row],[Units Sold]]),AVERAGE(_xlfn._xlws.FILTER(Table16[Units Sold],NOT(ISBLANK(Table16[Units Sold])))),Table16[[#This Row],[Units Sold]])</f>
        <v>468</v>
      </c>
      <c r="L193" s="3">
        <v>88.38</v>
      </c>
      <c r="M193" s="11" cm="1">
        <f t="array" ref="M193">IF(ISBLANK(Table16[[#This Row],[Unit Price]]),AVERAGE(_xlfn._xlws.FILTER(Table16[Unit Price],NOT(ISBLANK(Table16[Unit Price])))),Table16[[#This Row],[Unit Price]])</f>
        <v>88.38</v>
      </c>
      <c r="N193" s="3">
        <v>110.97</v>
      </c>
      <c r="O193" s="11">
        <f>Table16[[#This Row],[Unit sold Filled]]*Table16[[#This Row],[Unit Price Filled]]</f>
        <v>41361.839999999997</v>
      </c>
    </row>
    <row r="194" spans="1:15" x14ac:dyDescent="0.3">
      <c r="A194" s="1" t="s">
        <v>221</v>
      </c>
      <c r="B194" s="1" t="s">
        <v>22</v>
      </c>
      <c r="C194" s="3" t="str">
        <f t="shared" si="5"/>
        <v>North</v>
      </c>
      <c r="D194" s="1" t="s">
        <v>12</v>
      </c>
      <c r="E194" s="1" t="s">
        <v>27</v>
      </c>
      <c r="F194" s="3" t="str">
        <f t="shared" ref="F194:F257" si="6">IF(ISBLANK($E194), "Unknown", $E194)</f>
        <v>Furniture</v>
      </c>
      <c r="G194" s="1" t="s">
        <v>14</v>
      </c>
      <c r="H194" s="1" t="s">
        <v>28</v>
      </c>
      <c r="I194" s="2">
        <v>45119</v>
      </c>
      <c r="J194" s="3">
        <v>36</v>
      </c>
      <c r="K194" s="10" cm="1">
        <f t="array" ref="K194">IF(ISBLANK(Table16[[#This Row],[Units Sold]]),AVERAGE(_xlfn._xlws.FILTER(Table16[Units Sold],NOT(ISBLANK(Table16[Units Sold])))),Table16[[#This Row],[Units Sold]])</f>
        <v>36</v>
      </c>
      <c r="L194" s="3">
        <v>323.08</v>
      </c>
      <c r="M194" s="11" cm="1">
        <f t="array" ref="M194">IF(ISBLANK(Table16[[#This Row],[Unit Price]]),AVERAGE(_xlfn._xlws.FILTER(Table16[Unit Price],NOT(ISBLANK(Table16[Unit Price])))),Table16[[#This Row],[Unit Price]])</f>
        <v>323.08</v>
      </c>
      <c r="N194" s="3">
        <v>371.47</v>
      </c>
      <c r="O194" s="11">
        <f>Table16[[#This Row],[Unit sold Filled]]*Table16[[#This Row],[Unit Price Filled]]</f>
        <v>11630.88</v>
      </c>
    </row>
    <row r="195" spans="1:15" x14ac:dyDescent="0.3">
      <c r="A195" s="1" t="s">
        <v>222</v>
      </c>
      <c r="B195" s="1" t="s">
        <v>11</v>
      </c>
      <c r="C195" s="3" t="str">
        <f t="shared" ref="C195:C258" si="7">IF(ISBLANK($B195), "West", $B195)</f>
        <v>East</v>
      </c>
      <c r="D195" s="1" t="s">
        <v>26</v>
      </c>
      <c r="E195" s="1" t="s">
        <v>23</v>
      </c>
      <c r="F195" s="3" t="str">
        <f t="shared" si="6"/>
        <v>Clothing</v>
      </c>
      <c r="G195" s="1" t="s">
        <v>24</v>
      </c>
      <c r="H195" s="1" t="s">
        <v>20</v>
      </c>
      <c r="I195" s="2">
        <v>45120</v>
      </c>
      <c r="J195" s="3">
        <v>204</v>
      </c>
      <c r="K195" s="10" cm="1">
        <f t="array" ref="K195">IF(ISBLANK(Table16[[#This Row],[Units Sold]]),AVERAGE(_xlfn._xlws.FILTER(Table16[Units Sold],NOT(ISBLANK(Table16[Units Sold])))),Table16[[#This Row],[Units Sold]])</f>
        <v>204</v>
      </c>
      <c r="L195" s="3">
        <v>380.88</v>
      </c>
      <c r="M195" s="11" cm="1">
        <f t="array" ref="M195">IF(ISBLANK(Table16[[#This Row],[Unit Price]]),AVERAGE(_xlfn._xlws.FILTER(Table16[Unit Price],NOT(ISBLANK(Table16[Unit Price])))),Table16[[#This Row],[Unit Price]])</f>
        <v>380.88</v>
      </c>
      <c r="N195" s="3">
        <v>271.04000000000002</v>
      </c>
      <c r="O195" s="11">
        <f>Table16[[#This Row],[Unit sold Filled]]*Table16[[#This Row],[Unit Price Filled]]</f>
        <v>77699.520000000004</v>
      </c>
    </row>
    <row r="196" spans="1:15" x14ac:dyDescent="0.3">
      <c r="A196" s="1" t="s">
        <v>223</v>
      </c>
      <c r="B196" s="1" t="s">
        <v>11</v>
      </c>
      <c r="C196" s="3" t="str">
        <f t="shared" si="7"/>
        <v>East</v>
      </c>
      <c r="D196" s="1" t="s">
        <v>26</v>
      </c>
      <c r="E196" s="1" t="s">
        <v>23</v>
      </c>
      <c r="F196" s="3" t="str">
        <f t="shared" si="6"/>
        <v>Clothing</v>
      </c>
      <c r="G196" s="1" t="s">
        <v>14</v>
      </c>
      <c r="H196" s="1" t="s">
        <v>20</v>
      </c>
      <c r="I196" s="2">
        <v>45121</v>
      </c>
      <c r="J196" s="3">
        <v>346</v>
      </c>
      <c r="K196" s="10" cm="1">
        <f t="array" ref="K196">IF(ISBLANK(Table16[[#This Row],[Units Sold]]),AVERAGE(_xlfn._xlws.FILTER(Table16[Units Sold],NOT(ISBLANK(Table16[Units Sold])))),Table16[[#This Row],[Units Sold]])</f>
        <v>346</v>
      </c>
      <c r="L196" s="3">
        <v>252.72</v>
      </c>
      <c r="M196" s="11" cm="1">
        <f t="array" ref="M196">IF(ISBLANK(Table16[[#This Row],[Unit Price]]),AVERAGE(_xlfn._xlws.FILTER(Table16[Unit Price],NOT(ISBLANK(Table16[Unit Price])))),Table16[[#This Row],[Unit Price]])</f>
        <v>252.72</v>
      </c>
      <c r="N196" s="3">
        <v>199.43</v>
      </c>
      <c r="O196" s="11">
        <f>Table16[[#This Row],[Unit sold Filled]]*Table16[[#This Row],[Unit Price Filled]]</f>
        <v>87441.12</v>
      </c>
    </row>
    <row r="197" spans="1:15" x14ac:dyDescent="0.3">
      <c r="A197" s="1" t="s">
        <v>224</v>
      </c>
      <c r="B197" s="1" t="s">
        <v>48</v>
      </c>
      <c r="C197" s="3" t="str">
        <f t="shared" si="7"/>
        <v>South</v>
      </c>
      <c r="D197" s="1" t="s">
        <v>50</v>
      </c>
      <c r="E197" s="1" t="s">
        <v>13</v>
      </c>
      <c r="F197" s="3" t="str">
        <f t="shared" si="6"/>
        <v>Beverages</v>
      </c>
      <c r="G197" s="1" t="s">
        <v>24</v>
      </c>
      <c r="H197" s="1" t="s">
        <v>15</v>
      </c>
      <c r="I197" s="2">
        <v>45122</v>
      </c>
      <c r="J197" s="3">
        <v>391</v>
      </c>
      <c r="K197" s="10" cm="1">
        <f t="array" ref="K197">IF(ISBLANK(Table16[[#This Row],[Units Sold]]),AVERAGE(_xlfn._xlws.FILTER(Table16[Units Sold],NOT(ISBLANK(Table16[Units Sold])))),Table16[[#This Row],[Units Sold]])</f>
        <v>391</v>
      </c>
      <c r="L197" s="3">
        <v>273.47000000000003</v>
      </c>
      <c r="M197" s="11" cm="1">
        <f t="array" ref="M197">IF(ISBLANK(Table16[[#This Row],[Unit Price]]),AVERAGE(_xlfn._xlws.FILTER(Table16[Unit Price],NOT(ISBLANK(Table16[Unit Price])))),Table16[[#This Row],[Unit Price]])</f>
        <v>273.47000000000003</v>
      </c>
      <c r="N197" s="3">
        <v>7.06</v>
      </c>
      <c r="O197" s="11">
        <f>Table16[[#This Row],[Unit sold Filled]]*Table16[[#This Row],[Unit Price Filled]]</f>
        <v>106926.77</v>
      </c>
    </row>
    <row r="198" spans="1:15" x14ac:dyDescent="0.3">
      <c r="A198" s="1" t="s">
        <v>225</v>
      </c>
      <c r="B198" s="1" t="s">
        <v>48</v>
      </c>
      <c r="C198" s="3" t="str">
        <f t="shared" si="7"/>
        <v>South</v>
      </c>
      <c r="D198" s="1" t="s">
        <v>12</v>
      </c>
      <c r="E198" s="1" t="s">
        <v>13</v>
      </c>
      <c r="F198" s="3" t="str">
        <f t="shared" si="6"/>
        <v>Beverages</v>
      </c>
      <c r="G198" s="1" t="s">
        <v>14</v>
      </c>
      <c r="H198" s="1" t="s">
        <v>28</v>
      </c>
      <c r="I198" s="2">
        <v>45123</v>
      </c>
      <c r="J198" s="3">
        <v>245</v>
      </c>
      <c r="K198" s="10" cm="1">
        <f t="array" ref="K198">IF(ISBLANK(Table16[[#This Row],[Units Sold]]),AVERAGE(_xlfn._xlws.FILTER(Table16[Units Sold],NOT(ISBLANK(Table16[Units Sold])))),Table16[[#This Row],[Units Sold]])</f>
        <v>245</v>
      </c>
      <c r="L198" s="3">
        <v>475.98</v>
      </c>
      <c r="M198" s="11" cm="1">
        <f t="array" ref="M198">IF(ISBLANK(Table16[[#This Row],[Unit Price]]),AVERAGE(_xlfn._xlws.FILTER(Table16[Unit Price],NOT(ISBLANK(Table16[Unit Price])))),Table16[[#This Row],[Unit Price]])</f>
        <v>475.98</v>
      </c>
      <c r="N198" s="3">
        <v>396.98</v>
      </c>
      <c r="O198" s="11">
        <f>Table16[[#This Row],[Unit sold Filled]]*Table16[[#This Row],[Unit Price Filled]]</f>
        <v>116615.1</v>
      </c>
    </row>
    <row r="199" spans="1:15" x14ac:dyDescent="0.3">
      <c r="A199" s="1" t="s">
        <v>226</v>
      </c>
      <c r="B199" s="1" t="s">
        <v>17</v>
      </c>
      <c r="C199" s="3" t="str">
        <f t="shared" si="7"/>
        <v>West</v>
      </c>
      <c r="D199" s="1" t="s">
        <v>18</v>
      </c>
      <c r="E199" s="1" t="s">
        <v>27</v>
      </c>
      <c r="F199" s="3" t="str">
        <f t="shared" si="6"/>
        <v>Furniture</v>
      </c>
      <c r="G199" s="1" t="s">
        <v>24</v>
      </c>
      <c r="H199" s="1" t="s">
        <v>20</v>
      </c>
      <c r="I199" s="2">
        <v>45124</v>
      </c>
      <c r="J199" s="3">
        <v>449</v>
      </c>
      <c r="K199" s="10" cm="1">
        <f t="array" ref="K199">IF(ISBLANK(Table16[[#This Row],[Units Sold]]),AVERAGE(_xlfn._xlws.FILTER(Table16[Units Sold],NOT(ISBLANK(Table16[Units Sold])))),Table16[[#This Row],[Units Sold]])</f>
        <v>449</v>
      </c>
      <c r="L199" s="3">
        <v>424.35</v>
      </c>
      <c r="M199" s="11" cm="1">
        <f t="array" ref="M199">IF(ISBLANK(Table16[[#This Row],[Unit Price]]),AVERAGE(_xlfn._xlws.FILTER(Table16[Unit Price],NOT(ISBLANK(Table16[Unit Price])))),Table16[[#This Row],[Unit Price]])</f>
        <v>424.35</v>
      </c>
      <c r="N199" s="3">
        <v>269.24</v>
      </c>
      <c r="O199" s="11">
        <f>Table16[[#This Row],[Unit sold Filled]]*Table16[[#This Row],[Unit Price Filled]]</f>
        <v>190533.15000000002</v>
      </c>
    </row>
    <row r="200" spans="1:15" x14ac:dyDescent="0.3">
      <c r="A200" s="1" t="s">
        <v>227</v>
      </c>
      <c r="B200" s="1" t="s">
        <v>22</v>
      </c>
      <c r="C200" s="3" t="str">
        <f t="shared" si="7"/>
        <v>North</v>
      </c>
      <c r="D200" s="1" t="s">
        <v>50</v>
      </c>
      <c r="E200" s="1" t="s">
        <v>19</v>
      </c>
      <c r="F200" s="3" t="str">
        <f t="shared" si="6"/>
        <v>Food</v>
      </c>
      <c r="G200" s="1" t="s">
        <v>24</v>
      </c>
      <c r="H200" s="1" t="s">
        <v>28</v>
      </c>
      <c r="I200" s="2">
        <v>45125</v>
      </c>
      <c r="J200" s="3">
        <v>101</v>
      </c>
      <c r="K200" s="10" cm="1">
        <f t="array" ref="K200">IF(ISBLANK(Table16[[#This Row],[Units Sold]]),AVERAGE(_xlfn._xlws.FILTER(Table16[Units Sold],NOT(ISBLANK(Table16[Units Sold])))),Table16[[#This Row],[Units Sold]])</f>
        <v>101</v>
      </c>
      <c r="L200" s="3">
        <v>457.55</v>
      </c>
      <c r="M200" s="11" cm="1">
        <f t="array" ref="M200">IF(ISBLANK(Table16[[#This Row],[Unit Price]]),AVERAGE(_xlfn._xlws.FILTER(Table16[Unit Price],NOT(ISBLANK(Table16[Unit Price])))),Table16[[#This Row],[Unit Price]])</f>
        <v>457.55</v>
      </c>
      <c r="N200" s="3">
        <v>128.13999999999999</v>
      </c>
      <c r="O200" s="11">
        <f>Table16[[#This Row],[Unit sold Filled]]*Table16[[#This Row],[Unit Price Filled]]</f>
        <v>46212.55</v>
      </c>
    </row>
    <row r="201" spans="1:15" x14ac:dyDescent="0.3">
      <c r="A201" s="1" t="s">
        <v>228</v>
      </c>
      <c r="B201" s="1" t="s">
        <v>11</v>
      </c>
      <c r="C201" s="3" t="str">
        <f t="shared" si="7"/>
        <v>East</v>
      </c>
      <c r="D201" s="1" t="s">
        <v>26</v>
      </c>
      <c r="E201" s="1" t="s">
        <v>27</v>
      </c>
      <c r="F201" s="3" t="str">
        <f t="shared" si="6"/>
        <v>Furniture</v>
      </c>
      <c r="G201" s="1" t="s">
        <v>14</v>
      </c>
      <c r="H201" s="1" t="s">
        <v>20</v>
      </c>
      <c r="I201" s="2">
        <v>45126</v>
      </c>
      <c r="J201" s="1"/>
      <c r="K201" s="10" cm="1">
        <f t="array" ref="K201">IF(ISBLANK(Table16[[#This Row],[Units Sold]]),AVERAGE(_xlfn._xlws.FILTER(Table16[Units Sold],NOT(ISBLANK(Table16[Units Sold])))),Table16[[#This Row],[Units Sold]])</f>
        <v>255.90294117647059</v>
      </c>
      <c r="L201" s="3">
        <v>407.81</v>
      </c>
      <c r="M201" s="11" cm="1">
        <f t="array" ref="M201">IF(ISBLANK(Table16[[#This Row],[Unit Price]]),AVERAGE(_xlfn._xlws.FILTER(Table16[Unit Price],NOT(ISBLANK(Table16[Unit Price])))),Table16[[#This Row],[Unit Price]])</f>
        <v>407.81</v>
      </c>
      <c r="N201" s="3">
        <v>351.95</v>
      </c>
      <c r="O201" s="11">
        <f>Table16[[#This Row],[Unit sold Filled]]*Table16[[#This Row],[Unit Price Filled]]</f>
        <v>104359.77844117647</v>
      </c>
    </row>
    <row r="202" spans="1:15" x14ac:dyDescent="0.3">
      <c r="A202" s="1" t="s">
        <v>229</v>
      </c>
      <c r="B202" s="1" t="s">
        <v>11</v>
      </c>
      <c r="C202" s="3" t="str">
        <f t="shared" si="7"/>
        <v>East</v>
      </c>
      <c r="D202" s="1" t="s">
        <v>26</v>
      </c>
      <c r="E202" s="1" t="s">
        <v>13</v>
      </c>
      <c r="F202" s="3" t="str">
        <f t="shared" si="6"/>
        <v>Beverages</v>
      </c>
      <c r="G202" s="1" t="s">
        <v>24</v>
      </c>
      <c r="H202" s="1" t="s">
        <v>20</v>
      </c>
      <c r="I202" s="2">
        <v>45127</v>
      </c>
      <c r="J202" s="3">
        <v>30</v>
      </c>
      <c r="K202" s="10" cm="1">
        <f t="array" ref="K202">IF(ISBLANK(Table16[[#This Row],[Units Sold]]),AVERAGE(_xlfn._xlws.FILTER(Table16[Units Sold],NOT(ISBLANK(Table16[Units Sold])))),Table16[[#This Row],[Units Sold]])</f>
        <v>30</v>
      </c>
      <c r="L202" s="3">
        <v>58.91</v>
      </c>
      <c r="M202" s="11" cm="1">
        <f t="array" ref="M202">IF(ISBLANK(Table16[[#This Row],[Unit Price]]),AVERAGE(_xlfn._xlws.FILTER(Table16[Unit Price],NOT(ISBLANK(Table16[Unit Price])))),Table16[[#This Row],[Unit Price]])</f>
        <v>58.91</v>
      </c>
      <c r="N202" s="3">
        <v>104.86</v>
      </c>
      <c r="O202" s="11">
        <f>Table16[[#This Row],[Unit sold Filled]]*Table16[[#This Row],[Unit Price Filled]]</f>
        <v>1767.3</v>
      </c>
    </row>
    <row r="203" spans="1:15" x14ac:dyDescent="0.3">
      <c r="A203" s="1" t="s">
        <v>230</v>
      </c>
      <c r="B203" s="1" t="s">
        <v>17</v>
      </c>
      <c r="C203" s="3" t="str">
        <f t="shared" si="7"/>
        <v>West</v>
      </c>
      <c r="D203" s="1" t="s">
        <v>50</v>
      </c>
      <c r="E203" s="1" t="s">
        <v>13</v>
      </c>
      <c r="F203" s="3" t="str">
        <f t="shared" si="6"/>
        <v>Beverages</v>
      </c>
      <c r="G203" s="1" t="s">
        <v>14</v>
      </c>
      <c r="H203" s="1" t="s">
        <v>28</v>
      </c>
      <c r="I203" s="2">
        <v>45128</v>
      </c>
      <c r="J203" s="3">
        <v>312</v>
      </c>
      <c r="K203" s="10" cm="1">
        <f t="array" ref="K203">IF(ISBLANK(Table16[[#This Row],[Units Sold]]),AVERAGE(_xlfn._xlws.FILTER(Table16[Units Sold],NOT(ISBLANK(Table16[Units Sold])))),Table16[[#This Row],[Units Sold]])</f>
        <v>312</v>
      </c>
      <c r="L203" s="3">
        <v>78.75</v>
      </c>
      <c r="M203" s="11" cm="1">
        <f t="array" ref="M203">IF(ISBLANK(Table16[[#This Row],[Unit Price]]),AVERAGE(_xlfn._xlws.FILTER(Table16[Unit Price],NOT(ISBLANK(Table16[Unit Price])))),Table16[[#This Row],[Unit Price]])</f>
        <v>78.75</v>
      </c>
      <c r="N203" s="3">
        <v>218.52</v>
      </c>
      <c r="O203" s="11">
        <f>Table16[[#This Row],[Unit sold Filled]]*Table16[[#This Row],[Unit Price Filled]]</f>
        <v>24570</v>
      </c>
    </row>
    <row r="204" spans="1:15" x14ac:dyDescent="0.3">
      <c r="A204" s="1" t="s">
        <v>231</v>
      </c>
      <c r="B204" s="1" t="s">
        <v>11</v>
      </c>
      <c r="C204" s="3" t="str">
        <f t="shared" si="7"/>
        <v>East</v>
      </c>
      <c r="D204" s="1" t="s">
        <v>12</v>
      </c>
      <c r="E204" s="1" t="s">
        <v>42</v>
      </c>
      <c r="F204" s="3" t="str">
        <f t="shared" si="6"/>
        <v>Electronics</v>
      </c>
      <c r="G204" s="1" t="s">
        <v>24</v>
      </c>
      <c r="H204" s="1" t="s">
        <v>20</v>
      </c>
      <c r="I204" s="2">
        <v>45129</v>
      </c>
      <c r="J204" s="3">
        <v>473</v>
      </c>
      <c r="K204" s="10" cm="1">
        <f t="array" ref="K204">IF(ISBLANK(Table16[[#This Row],[Units Sold]]),AVERAGE(_xlfn._xlws.FILTER(Table16[Units Sold],NOT(ISBLANK(Table16[Units Sold])))),Table16[[#This Row],[Units Sold]])</f>
        <v>473</v>
      </c>
      <c r="L204" s="3">
        <v>265.68</v>
      </c>
      <c r="M204" s="11" cm="1">
        <f t="array" ref="M204">IF(ISBLANK(Table16[[#This Row],[Unit Price]]),AVERAGE(_xlfn._xlws.FILTER(Table16[Unit Price],NOT(ISBLANK(Table16[Unit Price])))),Table16[[#This Row],[Unit Price]])</f>
        <v>265.68</v>
      </c>
      <c r="N204" s="3">
        <v>255.16</v>
      </c>
      <c r="O204" s="11">
        <f>Table16[[#This Row],[Unit sold Filled]]*Table16[[#This Row],[Unit Price Filled]]</f>
        <v>125666.64</v>
      </c>
    </row>
    <row r="205" spans="1:15" x14ac:dyDescent="0.3">
      <c r="A205" s="1" t="s">
        <v>232</v>
      </c>
      <c r="B205" s="1" t="s">
        <v>22</v>
      </c>
      <c r="C205" s="3" t="str">
        <f t="shared" si="7"/>
        <v>North</v>
      </c>
      <c r="D205" s="1" t="s">
        <v>26</v>
      </c>
      <c r="E205" s="1" t="s">
        <v>13</v>
      </c>
      <c r="F205" s="3" t="str">
        <f t="shared" si="6"/>
        <v>Beverages</v>
      </c>
      <c r="G205" s="1" t="s">
        <v>14</v>
      </c>
      <c r="H205" s="1" t="s">
        <v>28</v>
      </c>
      <c r="I205" s="2">
        <v>45130</v>
      </c>
      <c r="J205" s="3">
        <v>366</v>
      </c>
      <c r="K205" s="10" cm="1">
        <f t="array" ref="K205">IF(ISBLANK(Table16[[#This Row],[Units Sold]]),AVERAGE(_xlfn._xlws.FILTER(Table16[Units Sold],NOT(ISBLANK(Table16[Units Sold])))),Table16[[#This Row],[Units Sold]])</f>
        <v>366</v>
      </c>
      <c r="L205" s="3">
        <v>126.8</v>
      </c>
      <c r="M205" s="11" cm="1">
        <f t="array" ref="M205">IF(ISBLANK(Table16[[#This Row],[Unit Price]]),AVERAGE(_xlfn._xlws.FILTER(Table16[Unit Price],NOT(ISBLANK(Table16[Unit Price])))),Table16[[#This Row],[Unit Price]])</f>
        <v>126.8</v>
      </c>
      <c r="N205" s="3">
        <v>89.98</v>
      </c>
      <c r="O205" s="11">
        <f>Table16[[#This Row],[Unit sold Filled]]*Table16[[#This Row],[Unit Price Filled]]</f>
        <v>46408.799999999996</v>
      </c>
    </row>
    <row r="206" spans="1:15" x14ac:dyDescent="0.3">
      <c r="A206" s="1" t="s">
        <v>233</v>
      </c>
      <c r="B206" s="1" t="s">
        <v>17</v>
      </c>
      <c r="C206" s="3" t="str">
        <f t="shared" si="7"/>
        <v>West</v>
      </c>
      <c r="D206" s="1" t="s">
        <v>12</v>
      </c>
      <c r="E206" s="1" t="s">
        <v>42</v>
      </c>
      <c r="F206" s="3" t="str">
        <f t="shared" si="6"/>
        <v>Electronics</v>
      </c>
      <c r="G206" s="1" t="s">
        <v>14</v>
      </c>
      <c r="H206" s="1" t="s">
        <v>20</v>
      </c>
      <c r="I206" s="2">
        <v>45131</v>
      </c>
      <c r="J206" s="3">
        <v>452</v>
      </c>
      <c r="K206" s="10" cm="1">
        <f t="array" ref="K206">IF(ISBLANK(Table16[[#This Row],[Units Sold]]),AVERAGE(_xlfn._xlws.FILTER(Table16[Units Sold],NOT(ISBLANK(Table16[Units Sold])))),Table16[[#This Row],[Units Sold]])</f>
        <v>452</v>
      </c>
      <c r="L206" s="3">
        <v>240.96</v>
      </c>
      <c r="M206" s="11" cm="1">
        <f t="array" ref="M206">IF(ISBLANK(Table16[[#This Row],[Unit Price]]),AVERAGE(_xlfn._xlws.FILTER(Table16[Unit Price],NOT(ISBLANK(Table16[Unit Price])))),Table16[[#This Row],[Unit Price]])</f>
        <v>240.96</v>
      </c>
      <c r="N206" s="3">
        <v>391.4</v>
      </c>
      <c r="O206" s="11">
        <f>Table16[[#This Row],[Unit sold Filled]]*Table16[[#This Row],[Unit Price Filled]]</f>
        <v>108913.92</v>
      </c>
    </row>
    <row r="207" spans="1:15" x14ac:dyDescent="0.3">
      <c r="A207" s="1" t="s">
        <v>234</v>
      </c>
      <c r="B207" s="1" t="s">
        <v>22</v>
      </c>
      <c r="C207" s="3" t="str">
        <f t="shared" si="7"/>
        <v>North</v>
      </c>
      <c r="D207" s="1" t="s">
        <v>26</v>
      </c>
      <c r="E207" s="1" t="s">
        <v>19</v>
      </c>
      <c r="F207" s="3" t="str">
        <f t="shared" si="6"/>
        <v>Food</v>
      </c>
      <c r="G207" s="1" t="s">
        <v>24</v>
      </c>
      <c r="H207" s="1" t="s">
        <v>15</v>
      </c>
      <c r="I207" s="2">
        <v>45132</v>
      </c>
      <c r="J207" s="3">
        <v>93</v>
      </c>
      <c r="K207" s="10" cm="1">
        <f t="array" ref="K207">IF(ISBLANK(Table16[[#This Row],[Units Sold]]),AVERAGE(_xlfn._xlws.FILTER(Table16[Units Sold],NOT(ISBLANK(Table16[Units Sold])))),Table16[[#This Row],[Units Sold]])</f>
        <v>93</v>
      </c>
      <c r="L207" s="3">
        <v>200.21</v>
      </c>
      <c r="M207" s="11" cm="1">
        <f t="array" ref="M207">IF(ISBLANK(Table16[[#This Row],[Unit Price]]),AVERAGE(_xlfn._xlws.FILTER(Table16[Unit Price],NOT(ISBLANK(Table16[Unit Price])))),Table16[[#This Row],[Unit Price]])</f>
        <v>200.21</v>
      </c>
      <c r="N207" s="3">
        <v>299.77999999999997</v>
      </c>
      <c r="O207" s="11">
        <f>Table16[[#This Row],[Unit sold Filled]]*Table16[[#This Row],[Unit Price Filled]]</f>
        <v>18619.530000000002</v>
      </c>
    </row>
    <row r="208" spans="1:15" x14ac:dyDescent="0.3">
      <c r="A208" s="1" t="s">
        <v>235</v>
      </c>
      <c r="B208" s="1" t="s">
        <v>17</v>
      </c>
      <c r="C208" s="3" t="str">
        <f t="shared" si="7"/>
        <v>West</v>
      </c>
      <c r="D208" s="1" t="s">
        <v>26</v>
      </c>
      <c r="E208" s="1" t="s">
        <v>27</v>
      </c>
      <c r="F208" s="3" t="str">
        <f t="shared" si="6"/>
        <v>Furniture</v>
      </c>
      <c r="G208" s="1" t="s">
        <v>14</v>
      </c>
      <c r="H208" s="1" t="s">
        <v>28</v>
      </c>
      <c r="I208" s="2">
        <v>45133</v>
      </c>
      <c r="J208" s="3">
        <v>271</v>
      </c>
      <c r="K208" s="10" cm="1">
        <f t="array" ref="K208">IF(ISBLANK(Table16[[#This Row],[Units Sold]]),AVERAGE(_xlfn._xlws.FILTER(Table16[Units Sold],NOT(ISBLANK(Table16[Units Sold])))),Table16[[#This Row],[Units Sold]])</f>
        <v>271</v>
      </c>
      <c r="L208" s="3">
        <v>276.95999999999998</v>
      </c>
      <c r="M208" s="11" cm="1">
        <f t="array" ref="M208">IF(ISBLANK(Table16[[#This Row],[Unit Price]]),AVERAGE(_xlfn._xlws.FILTER(Table16[Unit Price],NOT(ISBLANK(Table16[Unit Price])))),Table16[[#This Row],[Unit Price]])</f>
        <v>276.95999999999998</v>
      </c>
      <c r="N208" s="3">
        <v>224.01</v>
      </c>
      <c r="O208" s="11">
        <f>Table16[[#This Row],[Unit sold Filled]]*Table16[[#This Row],[Unit Price Filled]]</f>
        <v>75056.159999999989</v>
      </c>
    </row>
    <row r="209" spans="1:15" x14ac:dyDescent="0.3">
      <c r="A209" s="1" t="s">
        <v>236</v>
      </c>
      <c r="B209" s="1" t="s">
        <v>17</v>
      </c>
      <c r="C209" s="3" t="str">
        <f t="shared" si="7"/>
        <v>West</v>
      </c>
      <c r="D209" s="1" t="s">
        <v>31</v>
      </c>
      <c r="E209" s="1" t="s">
        <v>27</v>
      </c>
      <c r="F209" s="3" t="str">
        <f t="shared" si="6"/>
        <v>Furniture</v>
      </c>
      <c r="G209" s="1" t="s">
        <v>14</v>
      </c>
      <c r="H209" s="1" t="s">
        <v>20</v>
      </c>
      <c r="I209" s="2">
        <v>45134</v>
      </c>
      <c r="J209" s="3">
        <v>156</v>
      </c>
      <c r="K209" s="10" cm="1">
        <f t="array" ref="K209">IF(ISBLANK(Table16[[#This Row],[Units Sold]]),AVERAGE(_xlfn._xlws.FILTER(Table16[Units Sold],NOT(ISBLANK(Table16[Units Sold])))),Table16[[#This Row],[Units Sold]])</f>
        <v>156</v>
      </c>
      <c r="L209" s="3">
        <v>374.7</v>
      </c>
      <c r="M209" s="11" cm="1">
        <f t="array" ref="M209">IF(ISBLANK(Table16[[#This Row],[Unit Price]]),AVERAGE(_xlfn._xlws.FILTER(Table16[Unit Price],NOT(ISBLANK(Table16[Unit Price])))),Table16[[#This Row],[Unit Price]])</f>
        <v>374.7</v>
      </c>
      <c r="N209" s="3">
        <v>73.88</v>
      </c>
      <c r="O209" s="11">
        <f>Table16[[#This Row],[Unit sold Filled]]*Table16[[#This Row],[Unit Price Filled]]</f>
        <v>58453.2</v>
      </c>
    </row>
    <row r="210" spans="1:15" x14ac:dyDescent="0.3">
      <c r="A210" s="1" t="s">
        <v>237</v>
      </c>
      <c r="B210" s="1" t="s">
        <v>48</v>
      </c>
      <c r="C210" s="3" t="str">
        <f t="shared" si="7"/>
        <v>South</v>
      </c>
      <c r="D210" s="1" t="s">
        <v>26</v>
      </c>
      <c r="E210" s="1" t="s">
        <v>42</v>
      </c>
      <c r="F210" s="3" t="str">
        <f t="shared" si="6"/>
        <v>Electronics</v>
      </c>
      <c r="G210" s="1" t="s">
        <v>24</v>
      </c>
      <c r="H210" s="1" t="s">
        <v>20</v>
      </c>
      <c r="I210" s="2">
        <v>45135</v>
      </c>
      <c r="J210" s="3">
        <v>450</v>
      </c>
      <c r="K210" s="10" cm="1">
        <f t="array" ref="K210">IF(ISBLANK(Table16[[#This Row],[Units Sold]]),AVERAGE(_xlfn._xlws.FILTER(Table16[Units Sold],NOT(ISBLANK(Table16[Units Sold])))),Table16[[#This Row],[Units Sold]])</f>
        <v>450</v>
      </c>
      <c r="L210" s="3">
        <v>359.17</v>
      </c>
      <c r="M210" s="11" cm="1">
        <f t="array" ref="M210">IF(ISBLANK(Table16[[#This Row],[Unit Price]]),AVERAGE(_xlfn._xlws.FILTER(Table16[Unit Price],NOT(ISBLANK(Table16[Unit Price])))),Table16[[#This Row],[Unit Price]])</f>
        <v>359.17</v>
      </c>
      <c r="N210" s="3">
        <v>23.44</v>
      </c>
      <c r="O210" s="11">
        <f>Table16[[#This Row],[Unit sold Filled]]*Table16[[#This Row],[Unit Price Filled]]</f>
        <v>161626.5</v>
      </c>
    </row>
    <row r="211" spans="1:15" x14ac:dyDescent="0.3">
      <c r="A211" s="1" t="s">
        <v>238</v>
      </c>
      <c r="B211" s="1" t="s">
        <v>22</v>
      </c>
      <c r="C211" s="3" t="str">
        <f t="shared" si="7"/>
        <v>North</v>
      </c>
      <c r="D211" s="1" t="s">
        <v>18</v>
      </c>
      <c r="E211" s="1" t="s">
        <v>27</v>
      </c>
      <c r="F211" s="3" t="str">
        <f t="shared" si="6"/>
        <v>Furniture</v>
      </c>
      <c r="G211" s="1" t="s">
        <v>14</v>
      </c>
      <c r="H211" s="1" t="s">
        <v>15</v>
      </c>
      <c r="I211" s="2">
        <v>45136</v>
      </c>
      <c r="J211" s="3">
        <v>462</v>
      </c>
      <c r="K211" s="10" cm="1">
        <f t="array" ref="K211">IF(ISBLANK(Table16[[#This Row],[Units Sold]]),AVERAGE(_xlfn._xlws.FILTER(Table16[Units Sold],NOT(ISBLANK(Table16[Units Sold])))),Table16[[#This Row],[Units Sold]])</f>
        <v>462</v>
      </c>
      <c r="L211" s="3">
        <v>263.01</v>
      </c>
      <c r="M211" s="11" cm="1">
        <f t="array" ref="M211">IF(ISBLANK(Table16[[#This Row],[Unit Price]]),AVERAGE(_xlfn._xlws.FILTER(Table16[Unit Price],NOT(ISBLANK(Table16[Unit Price])))),Table16[[#This Row],[Unit Price]])</f>
        <v>263.01</v>
      </c>
      <c r="N211" s="3">
        <v>129.38</v>
      </c>
      <c r="O211" s="11">
        <f>Table16[[#This Row],[Unit sold Filled]]*Table16[[#This Row],[Unit Price Filled]]</f>
        <v>121510.62</v>
      </c>
    </row>
    <row r="212" spans="1:15" x14ac:dyDescent="0.3">
      <c r="A212" s="1" t="s">
        <v>239</v>
      </c>
      <c r="B212" s="1" t="s">
        <v>11</v>
      </c>
      <c r="C212" s="3" t="str">
        <f t="shared" si="7"/>
        <v>East</v>
      </c>
      <c r="D212" s="1" t="s">
        <v>50</v>
      </c>
      <c r="E212" s="1"/>
      <c r="F212" s="3" t="str">
        <f t="shared" si="6"/>
        <v>Unknown</v>
      </c>
      <c r="G212" s="1" t="s">
        <v>14</v>
      </c>
      <c r="H212" s="1" t="s">
        <v>28</v>
      </c>
      <c r="I212" s="2">
        <v>45137</v>
      </c>
      <c r="J212" s="3">
        <v>396</v>
      </c>
      <c r="K212" s="10" cm="1">
        <f t="array" ref="K212">IF(ISBLANK(Table16[[#This Row],[Units Sold]]),AVERAGE(_xlfn._xlws.FILTER(Table16[Units Sold],NOT(ISBLANK(Table16[Units Sold])))),Table16[[#This Row],[Units Sold]])</f>
        <v>396</v>
      </c>
      <c r="L212" s="3">
        <v>412.08</v>
      </c>
      <c r="M212" s="11" cm="1">
        <f t="array" ref="M212">IF(ISBLANK(Table16[[#This Row],[Unit Price]]),AVERAGE(_xlfn._xlws.FILTER(Table16[Unit Price],NOT(ISBLANK(Table16[Unit Price])))),Table16[[#This Row],[Unit Price]])</f>
        <v>412.08</v>
      </c>
      <c r="N212" s="3">
        <v>301.77</v>
      </c>
      <c r="O212" s="11">
        <f>Table16[[#This Row],[Unit sold Filled]]*Table16[[#This Row],[Unit Price Filled]]</f>
        <v>163183.67999999999</v>
      </c>
    </row>
    <row r="213" spans="1:15" x14ac:dyDescent="0.3">
      <c r="A213" s="1" t="s">
        <v>240</v>
      </c>
      <c r="B213" s="1" t="s">
        <v>11</v>
      </c>
      <c r="C213" s="3" t="str">
        <f t="shared" si="7"/>
        <v>East</v>
      </c>
      <c r="D213" s="1" t="s">
        <v>50</v>
      </c>
      <c r="E213" s="1" t="s">
        <v>23</v>
      </c>
      <c r="F213" s="3" t="str">
        <f t="shared" si="6"/>
        <v>Clothing</v>
      </c>
      <c r="G213" s="1" t="s">
        <v>24</v>
      </c>
      <c r="H213" s="1" t="s">
        <v>20</v>
      </c>
      <c r="I213" s="2">
        <v>45138</v>
      </c>
      <c r="J213" s="3">
        <v>266</v>
      </c>
      <c r="K213" s="10" cm="1">
        <f t="array" ref="K213">IF(ISBLANK(Table16[[#This Row],[Units Sold]]),AVERAGE(_xlfn._xlws.FILTER(Table16[Units Sold],NOT(ISBLANK(Table16[Units Sold])))),Table16[[#This Row],[Units Sold]])</f>
        <v>266</v>
      </c>
      <c r="L213" s="3">
        <v>218.28</v>
      </c>
      <c r="M213" s="11" cm="1">
        <f t="array" ref="M213">IF(ISBLANK(Table16[[#This Row],[Unit Price]]),AVERAGE(_xlfn._xlws.FILTER(Table16[Unit Price],NOT(ISBLANK(Table16[Unit Price])))),Table16[[#This Row],[Unit Price]])</f>
        <v>218.28</v>
      </c>
      <c r="N213" s="3">
        <v>109.19</v>
      </c>
      <c r="O213" s="11">
        <f>Table16[[#This Row],[Unit sold Filled]]*Table16[[#This Row],[Unit Price Filled]]</f>
        <v>58062.48</v>
      </c>
    </row>
    <row r="214" spans="1:15" x14ac:dyDescent="0.3">
      <c r="A214" s="1" t="s">
        <v>241</v>
      </c>
      <c r="B214" s="1" t="s">
        <v>22</v>
      </c>
      <c r="C214" s="3" t="str">
        <f t="shared" si="7"/>
        <v>North</v>
      </c>
      <c r="D214" s="1" t="s">
        <v>12</v>
      </c>
      <c r="E214" s="1" t="s">
        <v>42</v>
      </c>
      <c r="F214" s="3" t="str">
        <f t="shared" si="6"/>
        <v>Electronics</v>
      </c>
      <c r="G214" s="1" t="s">
        <v>24</v>
      </c>
      <c r="H214" s="1" t="s">
        <v>15</v>
      </c>
      <c r="I214" s="2">
        <v>45139</v>
      </c>
      <c r="J214" s="3">
        <v>67</v>
      </c>
      <c r="K214" s="10" cm="1">
        <f t="array" ref="K214">IF(ISBLANK(Table16[[#This Row],[Units Sold]]),AVERAGE(_xlfn._xlws.FILTER(Table16[Units Sold],NOT(ISBLANK(Table16[Units Sold])))),Table16[[#This Row],[Units Sold]])</f>
        <v>67</v>
      </c>
      <c r="L214" s="3">
        <v>448.87</v>
      </c>
      <c r="M214" s="11" cm="1">
        <f t="array" ref="M214">IF(ISBLANK(Table16[[#This Row],[Unit Price]]),AVERAGE(_xlfn._xlws.FILTER(Table16[Unit Price],NOT(ISBLANK(Table16[Unit Price])))),Table16[[#This Row],[Unit Price]])</f>
        <v>448.87</v>
      </c>
      <c r="N214" s="3">
        <v>216.74</v>
      </c>
      <c r="O214" s="11">
        <f>Table16[[#This Row],[Unit sold Filled]]*Table16[[#This Row],[Unit Price Filled]]</f>
        <v>30074.29</v>
      </c>
    </row>
    <row r="215" spans="1:15" x14ac:dyDescent="0.3">
      <c r="A215" s="1" t="s">
        <v>242</v>
      </c>
      <c r="B215" s="1" t="s">
        <v>11</v>
      </c>
      <c r="C215" s="3" t="str">
        <f t="shared" si="7"/>
        <v>East</v>
      </c>
      <c r="D215" s="1" t="s">
        <v>26</v>
      </c>
      <c r="E215" s="1" t="s">
        <v>27</v>
      </c>
      <c r="F215" s="3" t="str">
        <f t="shared" si="6"/>
        <v>Furniture</v>
      </c>
      <c r="G215" s="1" t="s">
        <v>14</v>
      </c>
      <c r="H215" s="1" t="s">
        <v>20</v>
      </c>
      <c r="I215" s="2">
        <v>45140</v>
      </c>
      <c r="J215" s="3">
        <v>389</v>
      </c>
      <c r="K215" s="10" cm="1">
        <f t="array" ref="K215">IF(ISBLANK(Table16[[#This Row],[Units Sold]]),AVERAGE(_xlfn._xlws.FILTER(Table16[Units Sold],NOT(ISBLANK(Table16[Units Sold])))),Table16[[#This Row],[Units Sold]])</f>
        <v>389</v>
      </c>
      <c r="L215" s="3">
        <v>40.28</v>
      </c>
      <c r="M215" s="11" cm="1">
        <f t="array" ref="M215">IF(ISBLANK(Table16[[#This Row],[Unit Price]]),AVERAGE(_xlfn._xlws.FILTER(Table16[Unit Price],NOT(ISBLANK(Table16[Unit Price])))),Table16[[#This Row],[Unit Price]])</f>
        <v>40.28</v>
      </c>
      <c r="N215" s="3">
        <v>291.72000000000003</v>
      </c>
      <c r="O215" s="11">
        <f>Table16[[#This Row],[Unit sold Filled]]*Table16[[#This Row],[Unit Price Filled]]</f>
        <v>15668.92</v>
      </c>
    </row>
    <row r="216" spans="1:15" x14ac:dyDescent="0.3">
      <c r="A216" s="1" t="s">
        <v>243</v>
      </c>
      <c r="B216" s="1" t="s">
        <v>11</v>
      </c>
      <c r="C216" s="3" t="str">
        <f t="shared" si="7"/>
        <v>East</v>
      </c>
      <c r="D216" s="1" t="s">
        <v>18</v>
      </c>
      <c r="E216" s="1" t="s">
        <v>42</v>
      </c>
      <c r="F216" s="3" t="str">
        <f t="shared" si="6"/>
        <v>Electronics</v>
      </c>
      <c r="G216" s="1" t="s">
        <v>14</v>
      </c>
      <c r="H216" s="1" t="s">
        <v>28</v>
      </c>
      <c r="I216" s="2">
        <v>45141</v>
      </c>
      <c r="J216" s="3">
        <v>431</v>
      </c>
      <c r="K216" s="10" cm="1">
        <f t="array" ref="K216">IF(ISBLANK(Table16[[#This Row],[Units Sold]]),AVERAGE(_xlfn._xlws.FILTER(Table16[Units Sold],NOT(ISBLANK(Table16[Units Sold])))),Table16[[#This Row],[Units Sold]])</f>
        <v>431</v>
      </c>
      <c r="L216" s="3">
        <v>477.56</v>
      </c>
      <c r="M216" s="11" cm="1">
        <f t="array" ref="M216">IF(ISBLANK(Table16[[#This Row],[Unit Price]]),AVERAGE(_xlfn._xlws.FILTER(Table16[Unit Price],NOT(ISBLANK(Table16[Unit Price])))),Table16[[#This Row],[Unit Price]])</f>
        <v>477.56</v>
      </c>
      <c r="N216" s="3">
        <v>44.96</v>
      </c>
      <c r="O216" s="11">
        <f>Table16[[#This Row],[Unit sold Filled]]*Table16[[#This Row],[Unit Price Filled]]</f>
        <v>205828.36000000002</v>
      </c>
    </row>
    <row r="217" spans="1:15" x14ac:dyDescent="0.3">
      <c r="A217" s="1" t="s">
        <v>244</v>
      </c>
      <c r="B217" s="1" t="s">
        <v>22</v>
      </c>
      <c r="C217" s="3" t="str">
        <f t="shared" si="7"/>
        <v>North</v>
      </c>
      <c r="D217" s="1" t="s">
        <v>12</v>
      </c>
      <c r="E217" s="1" t="s">
        <v>42</v>
      </c>
      <c r="F217" s="3" t="str">
        <f t="shared" si="6"/>
        <v>Electronics</v>
      </c>
      <c r="G217" s="1" t="s">
        <v>24</v>
      </c>
      <c r="H217" s="1" t="s">
        <v>20</v>
      </c>
      <c r="I217" s="2">
        <v>45142</v>
      </c>
      <c r="J217" s="3">
        <v>24</v>
      </c>
      <c r="K217" s="10" cm="1">
        <f t="array" ref="K217">IF(ISBLANK(Table16[[#This Row],[Units Sold]]),AVERAGE(_xlfn._xlws.FILTER(Table16[Units Sold],NOT(ISBLANK(Table16[Units Sold])))),Table16[[#This Row],[Units Sold]])</f>
        <v>24</v>
      </c>
      <c r="L217" s="3">
        <v>329.07</v>
      </c>
      <c r="M217" s="11" cm="1">
        <f t="array" ref="M217">IF(ISBLANK(Table16[[#This Row],[Unit Price]]),AVERAGE(_xlfn._xlws.FILTER(Table16[Unit Price],NOT(ISBLANK(Table16[Unit Price])))),Table16[[#This Row],[Unit Price]])</f>
        <v>329.07</v>
      </c>
      <c r="N217" s="3">
        <v>274.75</v>
      </c>
      <c r="O217" s="11">
        <f>Table16[[#This Row],[Unit sold Filled]]*Table16[[#This Row],[Unit Price Filled]]</f>
        <v>7897.68</v>
      </c>
    </row>
    <row r="218" spans="1:15" x14ac:dyDescent="0.3">
      <c r="A218" s="1" t="s">
        <v>245</v>
      </c>
      <c r="B218" s="1" t="s">
        <v>17</v>
      </c>
      <c r="C218" s="3" t="str">
        <f t="shared" si="7"/>
        <v>West</v>
      </c>
      <c r="D218" s="1" t="s">
        <v>31</v>
      </c>
      <c r="E218" s="1" t="s">
        <v>23</v>
      </c>
      <c r="F218" s="3" t="str">
        <f t="shared" si="6"/>
        <v>Clothing</v>
      </c>
      <c r="G218" s="1" t="s">
        <v>24</v>
      </c>
      <c r="H218" s="1" t="s">
        <v>20</v>
      </c>
      <c r="I218" s="2">
        <v>45143</v>
      </c>
      <c r="J218" s="3">
        <v>171</v>
      </c>
      <c r="K218" s="10" cm="1">
        <f t="array" ref="K218">IF(ISBLANK(Table16[[#This Row],[Units Sold]]),AVERAGE(_xlfn._xlws.FILTER(Table16[Units Sold],NOT(ISBLANK(Table16[Units Sold])))),Table16[[#This Row],[Units Sold]])</f>
        <v>171</v>
      </c>
      <c r="L218" s="3">
        <v>193.14</v>
      </c>
      <c r="M218" s="11" cm="1">
        <f t="array" ref="M218">IF(ISBLANK(Table16[[#This Row],[Unit Price]]),AVERAGE(_xlfn._xlws.FILTER(Table16[Unit Price],NOT(ISBLANK(Table16[Unit Price])))),Table16[[#This Row],[Unit Price]])</f>
        <v>193.14</v>
      </c>
      <c r="N218" s="3">
        <v>38.56</v>
      </c>
      <c r="O218" s="11">
        <f>Table16[[#This Row],[Unit sold Filled]]*Table16[[#This Row],[Unit Price Filled]]</f>
        <v>33026.939999999995</v>
      </c>
    </row>
    <row r="219" spans="1:15" x14ac:dyDescent="0.3">
      <c r="A219" s="1" t="s">
        <v>246</v>
      </c>
      <c r="B219" s="1" t="s">
        <v>22</v>
      </c>
      <c r="C219" s="3" t="str">
        <f t="shared" si="7"/>
        <v>North</v>
      </c>
      <c r="D219" s="1" t="s">
        <v>12</v>
      </c>
      <c r="E219" s="1" t="s">
        <v>13</v>
      </c>
      <c r="F219" s="3" t="str">
        <f t="shared" si="6"/>
        <v>Beverages</v>
      </c>
      <c r="G219" s="1" t="s">
        <v>14</v>
      </c>
      <c r="H219" s="1" t="s">
        <v>20</v>
      </c>
      <c r="I219" s="2">
        <v>45144</v>
      </c>
      <c r="J219" s="3">
        <v>454</v>
      </c>
      <c r="K219" s="10" cm="1">
        <f t="array" ref="K219">IF(ISBLANK(Table16[[#This Row],[Units Sold]]),AVERAGE(_xlfn._xlws.FILTER(Table16[Units Sold],NOT(ISBLANK(Table16[Units Sold])))),Table16[[#This Row],[Units Sold]])</f>
        <v>454</v>
      </c>
      <c r="L219" s="3">
        <v>102.59</v>
      </c>
      <c r="M219" s="11" cm="1">
        <f t="array" ref="M219">IF(ISBLANK(Table16[[#This Row],[Unit Price]]),AVERAGE(_xlfn._xlws.FILTER(Table16[Unit Price],NOT(ISBLANK(Table16[Unit Price])))),Table16[[#This Row],[Unit Price]])</f>
        <v>102.59</v>
      </c>
      <c r="N219" s="3">
        <v>386.12</v>
      </c>
      <c r="O219" s="11">
        <f>Table16[[#This Row],[Unit sold Filled]]*Table16[[#This Row],[Unit Price Filled]]</f>
        <v>46575.86</v>
      </c>
    </row>
    <row r="220" spans="1:15" x14ac:dyDescent="0.3">
      <c r="A220" s="1" t="s">
        <v>247</v>
      </c>
      <c r="B220" s="1" t="s">
        <v>17</v>
      </c>
      <c r="C220" s="3" t="str">
        <f t="shared" si="7"/>
        <v>West</v>
      </c>
      <c r="D220" s="1" t="s">
        <v>12</v>
      </c>
      <c r="E220" s="1" t="s">
        <v>42</v>
      </c>
      <c r="F220" s="3" t="str">
        <f t="shared" si="6"/>
        <v>Electronics</v>
      </c>
      <c r="G220" s="1" t="s">
        <v>24</v>
      </c>
      <c r="H220" s="1" t="s">
        <v>20</v>
      </c>
      <c r="I220" s="2">
        <v>45145</v>
      </c>
      <c r="J220" s="3">
        <v>172</v>
      </c>
      <c r="K220" s="10" cm="1">
        <f t="array" ref="K220">IF(ISBLANK(Table16[[#This Row],[Units Sold]]),AVERAGE(_xlfn._xlws.FILTER(Table16[Units Sold],NOT(ISBLANK(Table16[Units Sold])))),Table16[[#This Row],[Units Sold]])</f>
        <v>172</v>
      </c>
      <c r="L220" s="3">
        <v>242.2</v>
      </c>
      <c r="M220" s="11" cm="1">
        <f t="array" ref="M220">IF(ISBLANK(Table16[[#This Row],[Unit Price]]),AVERAGE(_xlfn._xlws.FILTER(Table16[Unit Price],NOT(ISBLANK(Table16[Unit Price])))),Table16[[#This Row],[Unit Price]])</f>
        <v>242.2</v>
      </c>
      <c r="N220" s="3">
        <v>196.38</v>
      </c>
      <c r="O220" s="11">
        <f>Table16[[#This Row],[Unit sold Filled]]*Table16[[#This Row],[Unit Price Filled]]</f>
        <v>41658.400000000001</v>
      </c>
    </row>
    <row r="221" spans="1:15" x14ac:dyDescent="0.3">
      <c r="A221" s="1" t="s">
        <v>248</v>
      </c>
      <c r="B221" s="1" t="s">
        <v>11</v>
      </c>
      <c r="C221" s="3" t="str">
        <f t="shared" si="7"/>
        <v>East</v>
      </c>
      <c r="D221" s="1" t="s">
        <v>26</v>
      </c>
      <c r="E221" s="1" t="s">
        <v>27</v>
      </c>
      <c r="F221" s="3" t="str">
        <f t="shared" si="6"/>
        <v>Furniture</v>
      </c>
      <c r="G221" s="1" t="s">
        <v>14</v>
      </c>
      <c r="H221" s="1" t="s">
        <v>15</v>
      </c>
      <c r="I221" s="2">
        <v>45146</v>
      </c>
      <c r="J221" s="3">
        <v>329</v>
      </c>
      <c r="K221" s="10" cm="1">
        <f t="array" ref="K221">IF(ISBLANK(Table16[[#This Row],[Units Sold]]),AVERAGE(_xlfn._xlws.FILTER(Table16[Units Sold],NOT(ISBLANK(Table16[Units Sold])))),Table16[[#This Row],[Units Sold]])</f>
        <v>329</v>
      </c>
      <c r="L221" s="3">
        <v>101.31</v>
      </c>
      <c r="M221" s="11" cm="1">
        <f t="array" ref="M221">IF(ISBLANK(Table16[[#This Row],[Unit Price]]),AVERAGE(_xlfn._xlws.FILTER(Table16[Unit Price],NOT(ISBLANK(Table16[Unit Price])))),Table16[[#This Row],[Unit Price]])</f>
        <v>101.31</v>
      </c>
      <c r="N221" s="3">
        <v>61.97</v>
      </c>
      <c r="O221" s="11">
        <f>Table16[[#This Row],[Unit sold Filled]]*Table16[[#This Row],[Unit Price Filled]]</f>
        <v>33330.99</v>
      </c>
    </row>
    <row r="222" spans="1:15" x14ac:dyDescent="0.3">
      <c r="A222" s="1" t="s">
        <v>249</v>
      </c>
      <c r="B222" s="1" t="s">
        <v>11</v>
      </c>
      <c r="C222" s="3" t="str">
        <f t="shared" si="7"/>
        <v>East</v>
      </c>
      <c r="D222" s="1" t="s">
        <v>31</v>
      </c>
      <c r="E222" s="1" t="s">
        <v>19</v>
      </c>
      <c r="F222" s="3" t="str">
        <f t="shared" si="6"/>
        <v>Food</v>
      </c>
      <c r="G222" s="1" t="s">
        <v>14</v>
      </c>
      <c r="H222" s="1" t="s">
        <v>15</v>
      </c>
      <c r="I222" s="2">
        <v>45147</v>
      </c>
      <c r="J222" s="3">
        <v>290</v>
      </c>
      <c r="K222" s="10" cm="1">
        <f t="array" ref="K222">IF(ISBLANK(Table16[[#This Row],[Units Sold]]),AVERAGE(_xlfn._xlws.FILTER(Table16[Units Sold],NOT(ISBLANK(Table16[Units Sold])))),Table16[[#This Row],[Units Sold]])</f>
        <v>290</v>
      </c>
      <c r="L222" s="3">
        <v>87.33</v>
      </c>
      <c r="M222" s="11" cm="1">
        <f t="array" ref="M222">IF(ISBLANK(Table16[[#This Row],[Unit Price]]),AVERAGE(_xlfn._xlws.FILTER(Table16[Unit Price],NOT(ISBLANK(Table16[Unit Price])))),Table16[[#This Row],[Unit Price]])</f>
        <v>87.33</v>
      </c>
      <c r="N222" s="3">
        <v>138.27000000000001</v>
      </c>
      <c r="O222" s="11">
        <f>Table16[[#This Row],[Unit sold Filled]]*Table16[[#This Row],[Unit Price Filled]]</f>
        <v>25325.7</v>
      </c>
    </row>
    <row r="223" spans="1:15" x14ac:dyDescent="0.3">
      <c r="A223" s="1" t="s">
        <v>250</v>
      </c>
      <c r="B223" s="1"/>
      <c r="C223" s="3" t="str">
        <f t="shared" si="7"/>
        <v>West</v>
      </c>
      <c r="D223" s="1" t="s">
        <v>12</v>
      </c>
      <c r="E223" s="1" t="s">
        <v>42</v>
      </c>
      <c r="F223" s="3" t="str">
        <f t="shared" si="6"/>
        <v>Electronics</v>
      </c>
      <c r="G223" s="1" t="s">
        <v>14</v>
      </c>
      <c r="H223" s="1" t="s">
        <v>28</v>
      </c>
      <c r="I223" s="2">
        <v>45148</v>
      </c>
      <c r="J223" s="3">
        <v>289</v>
      </c>
      <c r="K223" s="10" cm="1">
        <f t="array" ref="K223">IF(ISBLANK(Table16[[#This Row],[Units Sold]]),AVERAGE(_xlfn._xlws.FILTER(Table16[Units Sold],NOT(ISBLANK(Table16[Units Sold])))),Table16[[#This Row],[Units Sold]])</f>
        <v>289</v>
      </c>
      <c r="L223" s="3">
        <v>310.58999999999997</v>
      </c>
      <c r="M223" s="11" cm="1">
        <f t="array" ref="M223">IF(ISBLANK(Table16[[#This Row],[Unit Price]]),AVERAGE(_xlfn._xlws.FILTER(Table16[Unit Price],NOT(ISBLANK(Table16[Unit Price])))),Table16[[#This Row],[Unit Price]])</f>
        <v>310.58999999999997</v>
      </c>
      <c r="N223" s="3">
        <v>166.54</v>
      </c>
      <c r="O223" s="11">
        <f>Table16[[#This Row],[Unit sold Filled]]*Table16[[#This Row],[Unit Price Filled]]</f>
        <v>89760.51</v>
      </c>
    </row>
    <row r="224" spans="1:15" x14ac:dyDescent="0.3">
      <c r="A224" s="1" t="s">
        <v>251</v>
      </c>
      <c r="B224" s="1" t="s">
        <v>48</v>
      </c>
      <c r="C224" s="3" t="str">
        <f t="shared" si="7"/>
        <v>South</v>
      </c>
      <c r="D224" s="1" t="s">
        <v>18</v>
      </c>
      <c r="E224" s="1" t="s">
        <v>42</v>
      </c>
      <c r="F224" s="3" t="str">
        <f t="shared" si="6"/>
        <v>Electronics</v>
      </c>
      <c r="G224" s="1" t="s">
        <v>14</v>
      </c>
      <c r="H224" s="1" t="s">
        <v>15</v>
      </c>
      <c r="I224" s="2">
        <v>45149</v>
      </c>
      <c r="J224" s="3">
        <v>21</v>
      </c>
      <c r="K224" s="10" cm="1">
        <f t="array" ref="K224">IF(ISBLANK(Table16[[#This Row],[Units Sold]]),AVERAGE(_xlfn._xlws.FILTER(Table16[Units Sold],NOT(ISBLANK(Table16[Units Sold])))),Table16[[#This Row],[Units Sold]])</f>
        <v>21</v>
      </c>
      <c r="L224" s="3">
        <v>263.93</v>
      </c>
      <c r="M224" s="11" cm="1">
        <f t="array" ref="M224">IF(ISBLANK(Table16[[#This Row],[Unit Price]]),AVERAGE(_xlfn._xlws.FILTER(Table16[Unit Price],NOT(ISBLANK(Table16[Unit Price])))),Table16[[#This Row],[Unit Price]])</f>
        <v>263.93</v>
      </c>
      <c r="N224" s="3">
        <v>303.76</v>
      </c>
      <c r="O224" s="11">
        <f>Table16[[#This Row],[Unit sold Filled]]*Table16[[#This Row],[Unit Price Filled]]</f>
        <v>5542.53</v>
      </c>
    </row>
    <row r="225" spans="1:15" x14ac:dyDescent="0.3">
      <c r="A225" s="1" t="s">
        <v>252</v>
      </c>
      <c r="B225" s="1" t="s">
        <v>17</v>
      </c>
      <c r="C225" s="3" t="str">
        <f t="shared" si="7"/>
        <v>West</v>
      </c>
      <c r="D225" s="1" t="s">
        <v>18</v>
      </c>
      <c r="E225" s="1" t="s">
        <v>23</v>
      </c>
      <c r="F225" s="3" t="str">
        <f t="shared" si="6"/>
        <v>Clothing</v>
      </c>
      <c r="G225" s="1" t="s">
        <v>14</v>
      </c>
      <c r="H225" s="1" t="s">
        <v>15</v>
      </c>
      <c r="I225" s="2">
        <v>45150</v>
      </c>
      <c r="J225" s="3">
        <v>283</v>
      </c>
      <c r="K225" s="10" cm="1">
        <f t="array" ref="K225">IF(ISBLANK(Table16[[#This Row],[Units Sold]]),AVERAGE(_xlfn._xlws.FILTER(Table16[Units Sold],NOT(ISBLANK(Table16[Units Sold])))),Table16[[#This Row],[Units Sold]])</f>
        <v>283</v>
      </c>
      <c r="L225" s="3">
        <v>336.7</v>
      </c>
      <c r="M225" s="11" cm="1">
        <f t="array" ref="M225">IF(ISBLANK(Table16[[#This Row],[Unit Price]]),AVERAGE(_xlfn._xlws.FILTER(Table16[Unit Price],NOT(ISBLANK(Table16[Unit Price])))),Table16[[#This Row],[Unit Price]])</f>
        <v>336.7</v>
      </c>
      <c r="N225" s="3">
        <v>297.88</v>
      </c>
      <c r="O225" s="11">
        <f>Table16[[#This Row],[Unit sold Filled]]*Table16[[#This Row],[Unit Price Filled]]</f>
        <v>95286.099999999991</v>
      </c>
    </row>
    <row r="226" spans="1:15" x14ac:dyDescent="0.3">
      <c r="A226" s="1" t="s">
        <v>253</v>
      </c>
      <c r="B226" s="1" t="s">
        <v>48</v>
      </c>
      <c r="C226" s="3" t="str">
        <f t="shared" si="7"/>
        <v>South</v>
      </c>
      <c r="D226" s="1" t="s">
        <v>50</v>
      </c>
      <c r="E226" s="1" t="s">
        <v>13</v>
      </c>
      <c r="F226" s="3" t="str">
        <f t="shared" si="6"/>
        <v>Beverages</v>
      </c>
      <c r="G226" s="1" t="s">
        <v>24</v>
      </c>
      <c r="H226" s="1" t="s">
        <v>28</v>
      </c>
      <c r="I226" s="2">
        <v>45151</v>
      </c>
      <c r="J226" s="3">
        <v>280</v>
      </c>
      <c r="K226" s="10" cm="1">
        <f t="array" ref="K226">IF(ISBLANK(Table16[[#This Row],[Units Sold]]),AVERAGE(_xlfn._xlws.FILTER(Table16[Units Sold],NOT(ISBLANK(Table16[Units Sold])))),Table16[[#This Row],[Units Sold]])</f>
        <v>280</v>
      </c>
      <c r="L226" s="3">
        <v>465.15</v>
      </c>
      <c r="M226" s="11" cm="1">
        <f t="array" ref="M226">IF(ISBLANK(Table16[[#This Row],[Unit Price]]),AVERAGE(_xlfn._xlws.FILTER(Table16[Unit Price],NOT(ISBLANK(Table16[Unit Price])))),Table16[[#This Row],[Unit Price]])</f>
        <v>465.15</v>
      </c>
      <c r="N226" s="3">
        <v>245.55</v>
      </c>
      <c r="O226" s="11">
        <f>Table16[[#This Row],[Unit sold Filled]]*Table16[[#This Row],[Unit Price Filled]]</f>
        <v>130242</v>
      </c>
    </row>
    <row r="227" spans="1:15" x14ac:dyDescent="0.3">
      <c r="A227" s="1" t="s">
        <v>254</v>
      </c>
      <c r="B227" s="1" t="s">
        <v>48</v>
      </c>
      <c r="C227" s="3" t="str">
        <f t="shared" si="7"/>
        <v>South</v>
      </c>
      <c r="D227" s="1" t="s">
        <v>31</v>
      </c>
      <c r="E227" s="1" t="s">
        <v>19</v>
      </c>
      <c r="F227" s="3" t="str">
        <f t="shared" si="6"/>
        <v>Food</v>
      </c>
      <c r="G227" s="1" t="s">
        <v>24</v>
      </c>
      <c r="H227" s="1" t="s">
        <v>15</v>
      </c>
      <c r="I227" s="2">
        <v>45152</v>
      </c>
      <c r="J227" s="3">
        <v>217</v>
      </c>
      <c r="K227" s="10" cm="1">
        <f t="array" ref="K227">IF(ISBLANK(Table16[[#This Row],[Units Sold]]),AVERAGE(_xlfn._xlws.FILTER(Table16[Units Sold],NOT(ISBLANK(Table16[Units Sold])))),Table16[[#This Row],[Units Sold]])</f>
        <v>217</v>
      </c>
      <c r="L227" s="3">
        <v>268.47000000000003</v>
      </c>
      <c r="M227" s="11" cm="1">
        <f t="array" ref="M227">IF(ISBLANK(Table16[[#This Row],[Unit Price]]),AVERAGE(_xlfn._xlws.FILTER(Table16[Unit Price],NOT(ISBLANK(Table16[Unit Price])))),Table16[[#This Row],[Unit Price]])</f>
        <v>268.47000000000003</v>
      </c>
      <c r="N227" s="3">
        <v>44.16</v>
      </c>
      <c r="O227" s="11">
        <f>Table16[[#This Row],[Unit sold Filled]]*Table16[[#This Row],[Unit Price Filled]]</f>
        <v>58257.990000000005</v>
      </c>
    </row>
    <row r="228" spans="1:15" x14ac:dyDescent="0.3">
      <c r="A228" s="1" t="s">
        <v>255</v>
      </c>
      <c r="B228" s="1" t="s">
        <v>22</v>
      </c>
      <c r="C228" s="3" t="str">
        <f t="shared" si="7"/>
        <v>North</v>
      </c>
      <c r="D228" s="1" t="s">
        <v>31</v>
      </c>
      <c r="E228" s="1" t="s">
        <v>27</v>
      </c>
      <c r="F228" s="3" t="str">
        <f t="shared" si="6"/>
        <v>Furniture</v>
      </c>
      <c r="G228" s="1" t="s">
        <v>24</v>
      </c>
      <c r="H228" s="1" t="s">
        <v>15</v>
      </c>
      <c r="I228" s="2">
        <v>45153</v>
      </c>
      <c r="J228" s="3">
        <v>36</v>
      </c>
      <c r="K228" s="10" cm="1">
        <f t="array" ref="K228">IF(ISBLANK(Table16[[#This Row],[Units Sold]]),AVERAGE(_xlfn._xlws.FILTER(Table16[Units Sold],NOT(ISBLANK(Table16[Units Sold])))),Table16[[#This Row],[Units Sold]])</f>
        <v>36</v>
      </c>
      <c r="L228" s="3">
        <v>292.56</v>
      </c>
      <c r="M228" s="11" cm="1">
        <f t="array" ref="M228">IF(ISBLANK(Table16[[#This Row],[Unit Price]]),AVERAGE(_xlfn._xlws.FILTER(Table16[Unit Price],NOT(ISBLANK(Table16[Unit Price])))),Table16[[#This Row],[Unit Price]])</f>
        <v>292.56</v>
      </c>
      <c r="N228" s="3">
        <v>62.32</v>
      </c>
      <c r="O228" s="11">
        <f>Table16[[#This Row],[Unit sold Filled]]*Table16[[#This Row],[Unit Price Filled]]</f>
        <v>10532.16</v>
      </c>
    </row>
    <row r="229" spans="1:15" x14ac:dyDescent="0.3">
      <c r="A229" s="1" t="s">
        <v>256</v>
      </c>
      <c r="B229" s="1" t="s">
        <v>48</v>
      </c>
      <c r="C229" s="3" t="str">
        <f t="shared" si="7"/>
        <v>South</v>
      </c>
      <c r="D229" s="1" t="s">
        <v>50</v>
      </c>
      <c r="E229" s="1" t="s">
        <v>19</v>
      </c>
      <c r="F229" s="3" t="str">
        <f t="shared" si="6"/>
        <v>Food</v>
      </c>
      <c r="G229" s="1" t="s">
        <v>24</v>
      </c>
      <c r="H229" s="1" t="s">
        <v>28</v>
      </c>
      <c r="I229" s="2">
        <v>45154</v>
      </c>
      <c r="J229" s="1"/>
      <c r="K229" s="10" cm="1">
        <f t="array" ref="K229">IF(ISBLANK(Table16[[#This Row],[Units Sold]]),AVERAGE(_xlfn._xlws.FILTER(Table16[Units Sold],NOT(ISBLANK(Table16[Units Sold])))),Table16[[#This Row],[Units Sold]])</f>
        <v>255.90294117647059</v>
      </c>
      <c r="L229" s="3">
        <v>49.37</v>
      </c>
      <c r="M229" s="11" cm="1">
        <f t="array" ref="M229">IF(ISBLANK(Table16[[#This Row],[Unit Price]]),AVERAGE(_xlfn._xlws.FILTER(Table16[Unit Price],NOT(ISBLANK(Table16[Unit Price])))),Table16[[#This Row],[Unit Price]])</f>
        <v>49.37</v>
      </c>
      <c r="N229" s="3">
        <v>39.32</v>
      </c>
      <c r="O229" s="11">
        <f>Table16[[#This Row],[Unit sold Filled]]*Table16[[#This Row],[Unit Price Filled]]</f>
        <v>12633.928205882352</v>
      </c>
    </row>
    <row r="230" spans="1:15" x14ac:dyDescent="0.3">
      <c r="A230" s="1" t="s">
        <v>257</v>
      </c>
      <c r="B230" s="1" t="s">
        <v>22</v>
      </c>
      <c r="C230" s="3" t="str">
        <f t="shared" si="7"/>
        <v>North</v>
      </c>
      <c r="D230" s="1" t="s">
        <v>12</v>
      </c>
      <c r="E230" s="1" t="s">
        <v>27</v>
      </c>
      <c r="F230" s="3" t="str">
        <f t="shared" si="6"/>
        <v>Furniture</v>
      </c>
      <c r="G230" s="1" t="s">
        <v>14</v>
      </c>
      <c r="H230" s="1" t="s">
        <v>28</v>
      </c>
      <c r="I230" s="2">
        <v>45155</v>
      </c>
      <c r="J230" s="3">
        <v>69</v>
      </c>
      <c r="K230" s="10" cm="1">
        <f t="array" ref="K230">IF(ISBLANK(Table16[[#This Row],[Units Sold]]),AVERAGE(_xlfn._xlws.FILTER(Table16[Units Sold],NOT(ISBLANK(Table16[Units Sold])))),Table16[[#This Row],[Units Sold]])</f>
        <v>69</v>
      </c>
      <c r="L230" s="3">
        <v>360.23</v>
      </c>
      <c r="M230" s="11" cm="1">
        <f t="array" ref="M230">IF(ISBLANK(Table16[[#This Row],[Unit Price]]),AVERAGE(_xlfn._xlws.FILTER(Table16[Unit Price],NOT(ISBLANK(Table16[Unit Price])))),Table16[[#This Row],[Unit Price]])</f>
        <v>360.23</v>
      </c>
      <c r="N230" s="3">
        <v>231.71</v>
      </c>
      <c r="O230" s="11">
        <f>Table16[[#This Row],[Unit sold Filled]]*Table16[[#This Row],[Unit Price Filled]]</f>
        <v>24855.870000000003</v>
      </c>
    </row>
    <row r="231" spans="1:15" x14ac:dyDescent="0.3">
      <c r="A231" s="1" t="s">
        <v>258</v>
      </c>
      <c r="B231" s="1" t="s">
        <v>22</v>
      </c>
      <c r="C231" s="3" t="str">
        <f t="shared" si="7"/>
        <v>North</v>
      </c>
      <c r="D231" s="1" t="s">
        <v>31</v>
      </c>
      <c r="E231" s="1" t="s">
        <v>13</v>
      </c>
      <c r="F231" s="3" t="str">
        <f t="shared" si="6"/>
        <v>Beverages</v>
      </c>
      <c r="G231" s="1" t="s">
        <v>14</v>
      </c>
      <c r="H231" s="1" t="s">
        <v>28</v>
      </c>
      <c r="I231" s="2">
        <v>45156</v>
      </c>
      <c r="J231" s="3">
        <v>439</v>
      </c>
      <c r="K231" s="10" cm="1">
        <f t="array" ref="K231">IF(ISBLANK(Table16[[#This Row],[Units Sold]]),AVERAGE(_xlfn._xlws.FILTER(Table16[Units Sold],NOT(ISBLANK(Table16[Units Sold])))),Table16[[#This Row],[Units Sold]])</f>
        <v>439</v>
      </c>
      <c r="L231" s="3">
        <v>202.95</v>
      </c>
      <c r="M231" s="11" cm="1">
        <f t="array" ref="M231">IF(ISBLANK(Table16[[#This Row],[Unit Price]]),AVERAGE(_xlfn._xlws.FILTER(Table16[Unit Price],NOT(ISBLANK(Table16[Unit Price])))),Table16[[#This Row],[Unit Price]])</f>
        <v>202.95</v>
      </c>
      <c r="N231" s="3">
        <v>351.1</v>
      </c>
      <c r="O231" s="11">
        <f>Table16[[#This Row],[Unit sold Filled]]*Table16[[#This Row],[Unit Price Filled]]</f>
        <v>89095.049999999988</v>
      </c>
    </row>
    <row r="232" spans="1:15" x14ac:dyDescent="0.3">
      <c r="A232" s="1" t="s">
        <v>259</v>
      </c>
      <c r="B232" s="1" t="s">
        <v>48</v>
      </c>
      <c r="C232" s="3" t="str">
        <f t="shared" si="7"/>
        <v>South</v>
      </c>
      <c r="D232" s="1" t="s">
        <v>18</v>
      </c>
      <c r="E232" s="1" t="s">
        <v>27</v>
      </c>
      <c r="F232" s="3" t="str">
        <f t="shared" si="6"/>
        <v>Furniture</v>
      </c>
      <c r="G232" s="1" t="s">
        <v>14</v>
      </c>
      <c r="H232" s="1" t="s">
        <v>20</v>
      </c>
      <c r="I232" s="2">
        <v>45157</v>
      </c>
      <c r="J232" s="3">
        <v>482</v>
      </c>
      <c r="K232" s="10" cm="1">
        <f t="array" ref="K232">IF(ISBLANK(Table16[[#This Row],[Units Sold]]),AVERAGE(_xlfn._xlws.FILTER(Table16[Units Sold],NOT(ISBLANK(Table16[Units Sold])))),Table16[[#This Row],[Units Sold]])</f>
        <v>482</v>
      </c>
      <c r="L232" s="3">
        <v>488.48</v>
      </c>
      <c r="M232" s="11" cm="1">
        <f t="array" ref="M232">IF(ISBLANK(Table16[[#This Row],[Unit Price]]),AVERAGE(_xlfn._xlws.FILTER(Table16[Unit Price],NOT(ISBLANK(Table16[Unit Price])))),Table16[[#This Row],[Unit Price]])</f>
        <v>488.48</v>
      </c>
      <c r="N232" s="3">
        <v>174.65</v>
      </c>
      <c r="O232" s="11">
        <f>Table16[[#This Row],[Unit sold Filled]]*Table16[[#This Row],[Unit Price Filled]]</f>
        <v>235447.36000000002</v>
      </c>
    </row>
    <row r="233" spans="1:15" x14ac:dyDescent="0.3">
      <c r="A233" s="1" t="s">
        <v>260</v>
      </c>
      <c r="B233" s="1" t="s">
        <v>17</v>
      </c>
      <c r="C233" s="3" t="str">
        <f t="shared" si="7"/>
        <v>West</v>
      </c>
      <c r="D233" s="1" t="s">
        <v>18</v>
      </c>
      <c r="E233" s="1" t="s">
        <v>23</v>
      </c>
      <c r="F233" s="3" t="str">
        <f t="shared" si="6"/>
        <v>Clothing</v>
      </c>
      <c r="G233" s="1" t="s">
        <v>14</v>
      </c>
      <c r="H233" s="1" t="s">
        <v>20</v>
      </c>
      <c r="I233" s="2">
        <v>45158</v>
      </c>
      <c r="J233" s="3">
        <v>154</v>
      </c>
      <c r="K233" s="10" cm="1">
        <f t="array" ref="K233">IF(ISBLANK(Table16[[#This Row],[Units Sold]]),AVERAGE(_xlfn._xlws.FILTER(Table16[Units Sold],NOT(ISBLANK(Table16[Units Sold])))),Table16[[#This Row],[Units Sold]])</f>
        <v>154</v>
      </c>
      <c r="L233" s="3">
        <v>412.47</v>
      </c>
      <c r="M233" s="11" cm="1">
        <f t="array" ref="M233">IF(ISBLANK(Table16[[#This Row],[Unit Price]]),AVERAGE(_xlfn._xlws.FILTER(Table16[Unit Price],NOT(ISBLANK(Table16[Unit Price])))),Table16[[#This Row],[Unit Price]])</f>
        <v>412.47</v>
      </c>
      <c r="N233" s="3">
        <v>66.02</v>
      </c>
      <c r="O233" s="11">
        <f>Table16[[#This Row],[Unit sold Filled]]*Table16[[#This Row],[Unit Price Filled]]</f>
        <v>63520.380000000005</v>
      </c>
    </row>
    <row r="234" spans="1:15" x14ac:dyDescent="0.3">
      <c r="A234" s="1" t="s">
        <v>261</v>
      </c>
      <c r="B234" s="1" t="s">
        <v>17</v>
      </c>
      <c r="C234" s="3" t="str">
        <f t="shared" si="7"/>
        <v>West</v>
      </c>
      <c r="D234" s="1" t="s">
        <v>26</v>
      </c>
      <c r="E234" s="1" t="s">
        <v>23</v>
      </c>
      <c r="F234" s="3" t="str">
        <f t="shared" si="6"/>
        <v>Clothing</v>
      </c>
      <c r="G234" s="1" t="s">
        <v>24</v>
      </c>
      <c r="H234" s="1" t="s">
        <v>28</v>
      </c>
      <c r="I234" s="2">
        <v>45159</v>
      </c>
      <c r="J234" s="3">
        <v>102</v>
      </c>
      <c r="K234" s="10" cm="1">
        <f t="array" ref="K234">IF(ISBLANK(Table16[[#This Row],[Units Sold]]),AVERAGE(_xlfn._xlws.FILTER(Table16[Units Sold],NOT(ISBLANK(Table16[Units Sold])))),Table16[[#This Row],[Units Sold]])</f>
        <v>102</v>
      </c>
      <c r="L234" s="3">
        <v>263.63</v>
      </c>
      <c r="M234" s="11" cm="1">
        <f t="array" ref="M234">IF(ISBLANK(Table16[[#This Row],[Unit Price]]),AVERAGE(_xlfn._xlws.FILTER(Table16[Unit Price],NOT(ISBLANK(Table16[Unit Price])))),Table16[[#This Row],[Unit Price]])</f>
        <v>263.63</v>
      </c>
      <c r="N234" s="3">
        <v>224.1</v>
      </c>
      <c r="O234" s="11">
        <f>Table16[[#This Row],[Unit sold Filled]]*Table16[[#This Row],[Unit Price Filled]]</f>
        <v>26890.26</v>
      </c>
    </row>
    <row r="235" spans="1:15" x14ac:dyDescent="0.3">
      <c r="A235" s="1" t="s">
        <v>262</v>
      </c>
      <c r="B235" s="1" t="s">
        <v>17</v>
      </c>
      <c r="C235" s="3" t="str">
        <f t="shared" si="7"/>
        <v>West</v>
      </c>
      <c r="D235" s="1" t="s">
        <v>31</v>
      </c>
      <c r="E235" s="1" t="s">
        <v>23</v>
      </c>
      <c r="F235" s="3" t="str">
        <f t="shared" si="6"/>
        <v>Clothing</v>
      </c>
      <c r="G235" s="1" t="s">
        <v>14</v>
      </c>
      <c r="H235" s="1" t="s">
        <v>28</v>
      </c>
      <c r="I235" s="2">
        <v>45160</v>
      </c>
      <c r="J235" s="3">
        <v>318</v>
      </c>
      <c r="K235" s="10" cm="1">
        <f t="array" ref="K235">IF(ISBLANK(Table16[[#This Row],[Units Sold]]),AVERAGE(_xlfn._xlws.FILTER(Table16[Units Sold],NOT(ISBLANK(Table16[Units Sold])))),Table16[[#This Row],[Units Sold]])</f>
        <v>318</v>
      </c>
      <c r="L235" s="3">
        <v>66</v>
      </c>
      <c r="M235" s="11" cm="1">
        <f t="array" ref="M235">IF(ISBLANK(Table16[[#This Row],[Unit Price]]),AVERAGE(_xlfn._xlws.FILTER(Table16[Unit Price],NOT(ISBLANK(Table16[Unit Price])))),Table16[[#This Row],[Unit Price]])</f>
        <v>66</v>
      </c>
      <c r="N235" s="3">
        <v>325.08</v>
      </c>
      <c r="O235" s="11">
        <f>Table16[[#This Row],[Unit sold Filled]]*Table16[[#This Row],[Unit Price Filled]]</f>
        <v>20988</v>
      </c>
    </row>
    <row r="236" spans="1:15" x14ac:dyDescent="0.3">
      <c r="A236" s="1" t="s">
        <v>263</v>
      </c>
      <c r="B236" s="1" t="s">
        <v>17</v>
      </c>
      <c r="C236" s="3" t="str">
        <f t="shared" si="7"/>
        <v>West</v>
      </c>
      <c r="D236" s="1" t="s">
        <v>12</v>
      </c>
      <c r="E236" s="1" t="s">
        <v>23</v>
      </c>
      <c r="F236" s="3" t="str">
        <f t="shared" si="6"/>
        <v>Clothing</v>
      </c>
      <c r="G236" s="1" t="s">
        <v>14</v>
      </c>
      <c r="H236" s="1" t="s">
        <v>28</v>
      </c>
      <c r="I236" s="2">
        <v>45161</v>
      </c>
      <c r="J236" s="3">
        <v>17</v>
      </c>
      <c r="K236" s="10" cm="1">
        <f t="array" ref="K236">IF(ISBLANK(Table16[[#This Row],[Units Sold]]),AVERAGE(_xlfn._xlws.FILTER(Table16[Units Sold],NOT(ISBLANK(Table16[Units Sold])))),Table16[[#This Row],[Units Sold]])</f>
        <v>17</v>
      </c>
      <c r="L236" s="3">
        <v>430.41</v>
      </c>
      <c r="M236" s="11" cm="1">
        <f t="array" ref="M236">IF(ISBLANK(Table16[[#This Row],[Unit Price]]),AVERAGE(_xlfn._xlws.FILTER(Table16[Unit Price],NOT(ISBLANK(Table16[Unit Price])))),Table16[[#This Row],[Unit Price]])</f>
        <v>430.41</v>
      </c>
      <c r="N236" s="3">
        <v>297.2</v>
      </c>
      <c r="O236" s="11">
        <f>Table16[[#This Row],[Unit sold Filled]]*Table16[[#This Row],[Unit Price Filled]]</f>
        <v>7316.97</v>
      </c>
    </row>
    <row r="237" spans="1:15" x14ac:dyDescent="0.3">
      <c r="A237" s="1" t="s">
        <v>264</v>
      </c>
      <c r="B237" s="1" t="s">
        <v>17</v>
      </c>
      <c r="C237" s="3" t="str">
        <f t="shared" si="7"/>
        <v>West</v>
      </c>
      <c r="D237" s="1" t="s">
        <v>50</v>
      </c>
      <c r="E237" s="1" t="s">
        <v>19</v>
      </c>
      <c r="F237" s="3" t="str">
        <f t="shared" si="6"/>
        <v>Food</v>
      </c>
      <c r="G237" s="1" t="s">
        <v>24</v>
      </c>
      <c r="H237" s="1" t="s">
        <v>20</v>
      </c>
      <c r="I237" s="2">
        <v>45162</v>
      </c>
      <c r="J237" s="3">
        <v>88</v>
      </c>
      <c r="K237" s="10" cm="1">
        <f t="array" ref="K237">IF(ISBLANK(Table16[[#This Row],[Units Sold]]),AVERAGE(_xlfn._xlws.FILTER(Table16[Units Sold],NOT(ISBLANK(Table16[Units Sold])))),Table16[[#This Row],[Units Sold]])</f>
        <v>88</v>
      </c>
      <c r="L237" s="3">
        <v>400.89</v>
      </c>
      <c r="M237" s="11" cm="1">
        <f t="array" ref="M237">IF(ISBLANK(Table16[[#This Row],[Unit Price]]),AVERAGE(_xlfn._xlws.FILTER(Table16[Unit Price],NOT(ISBLANK(Table16[Unit Price])))),Table16[[#This Row],[Unit Price]])</f>
        <v>400.89</v>
      </c>
      <c r="N237" s="3">
        <v>352.82</v>
      </c>
      <c r="O237" s="11">
        <f>Table16[[#This Row],[Unit sold Filled]]*Table16[[#This Row],[Unit Price Filled]]</f>
        <v>35278.32</v>
      </c>
    </row>
    <row r="238" spans="1:15" x14ac:dyDescent="0.3">
      <c r="A238" s="1" t="s">
        <v>265</v>
      </c>
      <c r="B238" s="1" t="s">
        <v>48</v>
      </c>
      <c r="C238" s="3" t="str">
        <f t="shared" si="7"/>
        <v>South</v>
      </c>
      <c r="D238" s="1" t="s">
        <v>50</v>
      </c>
      <c r="E238" s="1" t="s">
        <v>13</v>
      </c>
      <c r="F238" s="3" t="str">
        <f t="shared" si="6"/>
        <v>Beverages</v>
      </c>
      <c r="G238" s="1" t="s">
        <v>24</v>
      </c>
      <c r="H238" s="1" t="s">
        <v>20</v>
      </c>
      <c r="I238" s="2">
        <v>45163</v>
      </c>
      <c r="J238" s="3">
        <v>36</v>
      </c>
      <c r="K238" s="10" cm="1">
        <f t="array" ref="K238">IF(ISBLANK(Table16[[#This Row],[Units Sold]]),AVERAGE(_xlfn._xlws.FILTER(Table16[Units Sold],NOT(ISBLANK(Table16[Units Sold])))),Table16[[#This Row],[Units Sold]])</f>
        <v>36</v>
      </c>
      <c r="L238" s="3">
        <v>96.37</v>
      </c>
      <c r="M238" s="11" cm="1">
        <f t="array" ref="M238">IF(ISBLANK(Table16[[#This Row],[Unit Price]]),AVERAGE(_xlfn._xlws.FILTER(Table16[Unit Price],NOT(ISBLANK(Table16[Unit Price])))),Table16[[#This Row],[Unit Price]])</f>
        <v>96.37</v>
      </c>
      <c r="N238" s="3">
        <v>112.61</v>
      </c>
      <c r="O238" s="11">
        <f>Table16[[#This Row],[Unit sold Filled]]*Table16[[#This Row],[Unit Price Filled]]</f>
        <v>3469.32</v>
      </c>
    </row>
    <row r="239" spans="1:15" x14ac:dyDescent="0.3">
      <c r="A239" s="1" t="s">
        <v>266</v>
      </c>
      <c r="B239" s="1" t="s">
        <v>48</v>
      </c>
      <c r="C239" s="3" t="str">
        <f t="shared" si="7"/>
        <v>South</v>
      </c>
      <c r="D239" s="1" t="s">
        <v>12</v>
      </c>
      <c r="E239" s="1" t="s">
        <v>27</v>
      </c>
      <c r="F239" s="3" t="str">
        <f t="shared" si="6"/>
        <v>Furniture</v>
      </c>
      <c r="G239" s="1" t="s">
        <v>24</v>
      </c>
      <c r="H239" s="1" t="s">
        <v>15</v>
      </c>
      <c r="I239" s="2">
        <v>45164</v>
      </c>
      <c r="J239" s="3">
        <v>183</v>
      </c>
      <c r="K239" s="10" cm="1">
        <f t="array" ref="K239">IF(ISBLANK(Table16[[#This Row],[Units Sold]]),AVERAGE(_xlfn._xlws.FILTER(Table16[Units Sold],NOT(ISBLANK(Table16[Units Sold])))),Table16[[#This Row],[Units Sold]])</f>
        <v>183</v>
      </c>
      <c r="L239" s="3">
        <v>151.16</v>
      </c>
      <c r="M239" s="11" cm="1">
        <f t="array" ref="M239">IF(ISBLANK(Table16[[#This Row],[Unit Price]]),AVERAGE(_xlfn._xlws.FILTER(Table16[Unit Price],NOT(ISBLANK(Table16[Unit Price])))),Table16[[#This Row],[Unit Price]])</f>
        <v>151.16</v>
      </c>
      <c r="N239" s="3">
        <v>79.19</v>
      </c>
      <c r="O239" s="11">
        <f>Table16[[#This Row],[Unit sold Filled]]*Table16[[#This Row],[Unit Price Filled]]</f>
        <v>27662.28</v>
      </c>
    </row>
    <row r="240" spans="1:15" x14ac:dyDescent="0.3">
      <c r="A240" s="1" t="s">
        <v>267</v>
      </c>
      <c r="B240" s="1" t="s">
        <v>11</v>
      </c>
      <c r="C240" s="3" t="str">
        <f t="shared" si="7"/>
        <v>East</v>
      </c>
      <c r="D240" s="1" t="s">
        <v>26</v>
      </c>
      <c r="E240" s="1" t="s">
        <v>27</v>
      </c>
      <c r="F240" s="3" t="str">
        <f t="shared" si="6"/>
        <v>Furniture</v>
      </c>
      <c r="G240" s="1" t="s">
        <v>24</v>
      </c>
      <c r="H240" s="1" t="s">
        <v>15</v>
      </c>
      <c r="I240" s="2">
        <v>45165</v>
      </c>
      <c r="J240" s="3">
        <v>59</v>
      </c>
      <c r="K240" s="10" cm="1">
        <f t="array" ref="K240">IF(ISBLANK(Table16[[#This Row],[Units Sold]]),AVERAGE(_xlfn._xlws.FILTER(Table16[Units Sold],NOT(ISBLANK(Table16[Units Sold])))),Table16[[#This Row],[Units Sold]])</f>
        <v>59</v>
      </c>
      <c r="L240" s="3">
        <v>397.74</v>
      </c>
      <c r="M240" s="11" cm="1">
        <f t="array" ref="M240">IF(ISBLANK(Table16[[#This Row],[Unit Price]]),AVERAGE(_xlfn._xlws.FILTER(Table16[Unit Price],NOT(ISBLANK(Table16[Unit Price])))),Table16[[#This Row],[Unit Price]])</f>
        <v>397.74</v>
      </c>
      <c r="N240" s="3">
        <v>352.17</v>
      </c>
      <c r="O240" s="11">
        <f>Table16[[#This Row],[Unit sold Filled]]*Table16[[#This Row],[Unit Price Filled]]</f>
        <v>23466.66</v>
      </c>
    </row>
    <row r="241" spans="1:15" x14ac:dyDescent="0.3">
      <c r="A241" s="1" t="s">
        <v>268</v>
      </c>
      <c r="B241" s="1" t="s">
        <v>17</v>
      </c>
      <c r="C241" s="3" t="str">
        <f t="shared" si="7"/>
        <v>West</v>
      </c>
      <c r="D241" s="1" t="s">
        <v>50</v>
      </c>
      <c r="E241" s="1" t="s">
        <v>23</v>
      </c>
      <c r="F241" s="3" t="str">
        <f t="shared" si="6"/>
        <v>Clothing</v>
      </c>
      <c r="G241" s="1" t="s">
        <v>14</v>
      </c>
      <c r="H241" s="1" t="s">
        <v>28</v>
      </c>
      <c r="I241" s="2">
        <v>45166</v>
      </c>
      <c r="J241" s="3">
        <v>208</v>
      </c>
      <c r="K241" s="10" cm="1">
        <f t="array" ref="K241">IF(ISBLANK(Table16[[#This Row],[Units Sold]]),AVERAGE(_xlfn._xlws.FILTER(Table16[Units Sold],NOT(ISBLANK(Table16[Units Sold])))),Table16[[#This Row],[Units Sold]])</f>
        <v>208</v>
      </c>
      <c r="L241" s="3">
        <v>96.69</v>
      </c>
      <c r="M241" s="11" cm="1">
        <f t="array" ref="M241">IF(ISBLANK(Table16[[#This Row],[Unit Price]]),AVERAGE(_xlfn._xlws.FILTER(Table16[Unit Price],NOT(ISBLANK(Table16[Unit Price])))),Table16[[#This Row],[Unit Price]])</f>
        <v>96.69</v>
      </c>
      <c r="N241" s="3">
        <v>263.70999999999998</v>
      </c>
      <c r="O241" s="11">
        <f>Table16[[#This Row],[Unit sold Filled]]*Table16[[#This Row],[Unit Price Filled]]</f>
        <v>20111.52</v>
      </c>
    </row>
    <row r="242" spans="1:15" x14ac:dyDescent="0.3">
      <c r="A242" s="1" t="s">
        <v>269</v>
      </c>
      <c r="B242" s="1" t="s">
        <v>48</v>
      </c>
      <c r="C242" s="3" t="str">
        <f t="shared" si="7"/>
        <v>South</v>
      </c>
      <c r="D242" s="1" t="s">
        <v>31</v>
      </c>
      <c r="E242" s="1" t="s">
        <v>23</v>
      </c>
      <c r="F242" s="3" t="str">
        <f t="shared" si="6"/>
        <v>Clothing</v>
      </c>
      <c r="G242" s="1" t="s">
        <v>14</v>
      </c>
      <c r="H242" s="1" t="s">
        <v>20</v>
      </c>
      <c r="I242" s="2">
        <v>45167</v>
      </c>
      <c r="J242" s="3">
        <v>396</v>
      </c>
      <c r="K242" s="10" cm="1">
        <f t="array" ref="K242">IF(ISBLANK(Table16[[#This Row],[Units Sold]]),AVERAGE(_xlfn._xlws.FILTER(Table16[Units Sold],NOT(ISBLANK(Table16[Units Sold])))),Table16[[#This Row],[Units Sold]])</f>
        <v>396</v>
      </c>
      <c r="L242" s="3">
        <v>459.29</v>
      </c>
      <c r="M242" s="11" cm="1">
        <f t="array" ref="M242">IF(ISBLANK(Table16[[#This Row],[Unit Price]]),AVERAGE(_xlfn._xlws.FILTER(Table16[Unit Price],NOT(ISBLANK(Table16[Unit Price])))),Table16[[#This Row],[Unit Price]])</f>
        <v>459.29</v>
      </c>
      <c r="N242" s="3">
        <v>125.75</v>
      </c>
      <c r="O242" s="11">
        <f>Table16[[#This Row],[Unit sold Filled]]*Table16[[#This Row],[Unit Price Filled]]</f>
        <v>181878.84</v>
      </c>
    </row>
    <row r="243" spans="1:15" x14ac:dyDescent="0.3">
      <c r="A243" s="1" t="s">
        <v>270</v>
      </c>
      <c r="B243" s="1" t="s">
        <v>11</v>
      </c>
      <c r="C243" s="3" t="str">
        <f t="shared" si="7"/>
        <v>East</v>
      </c>
      <c r="D243" s="1" t="s">
        <v>26</v>
      </c>
      <c r="E243" s="1" t="s">
        <v>42</v>
      </c>
      <c r="F243" s="3" t="str">
        <f t="shared" si="6"/>
        <v>Electronics</v>
      </c>
      <c r="G243" s="1" t="s">
        <v>24</v>
      </c>
      <c r="H243" s="1" t="s">
        <v>20</v>
      </c>
      <c r="I243" s="2">
        <v>45168</v>
      </c>
      <c r="J243" s="3">
        <v>358</v>
      </c>
      <c r="K243" s="10" cm="1">
        <f t="array" ref="K243">IF(ISBLANK(Table16[[#This Row],[Units Sold]]),AVERAGE(_xlfn._xlws.FILTER(Table16[Units Sold],NOT(ISBLANK(Table16[Units Sold])))),Table16[[#This Row],[Units Sold]])</f>
        <v>358</v>
      </c>
      <c r="L243" s="3">
        <v>215.14</v>
      </c>
      <c r="M243" s="11" cm="1">
        <f t="array" ref="M243">IF(ISBLANK(Table16[[#This Row],[Unit Price]]),AVERAGE(_xlfn._xlws.FILTER(Table16[Unit Price],NOT(ISBLANK(Table16[Unit Price])))),Table16[[#This Row],[Unit Price]])</f>
        <v>215.14</v>
      </c>
      <c r="N243" s="3">
        <v>297.45</v>
      </c>
      <c r="O243" s="11">
        <f>Table16[[#This Row],[Unit sold Filled]]*Table16[[#This Row],[Unit Price Filled]]</f>
        <v>77020.12</v>
      </c>
    </row>
    <row r="244" spans="1:15" x14ac:dyDescent="0.3">
      <c r="A244" s="1" t="s">
        <v>271</v>
      </c>
      <c r="B244" s="1" t="s">
        <v>17</v>
      </c>
      <c r="C244" s="3" t="str">
        <f t="shared" si="7"/>
        <v>West</v>
      </c>
      <c r="D244" s="1" t="s">
        <v>31</v>
      </c>
      <c r="E244" s="1" t="s">
        <v>13</v>
      </c>
      <c r="F244" s="3" t="str">
        <f t="shared" si="6"/>
        <v>Beverages</v>
      </c>
      <c r="G244" s="1" t="s">
        <v>14</v>
      </c>
      <c r="H244" s="1" t="s">
        <v>20</v>
      </c>
      <c r="I244" s="2">
        <v>45169</v>
      </c>
      <c r="J244" s="3">
        <v>457</v>
      </c>
      <c r="K244" s="10" cm="1">
        <f t="array" ref="K244">IF(ISBLANK(Table16[[#This Row],[Units Sold]]),AVERAGE(_xlfn._xlws.FILTER(Table16[Units Sold],NOT(ISBLANK(Table16[Units Sold])))),Table16[[#This Row],[Units Sold]])</f>
        <v>457</v>
      </c>
      <c r="L244" s="3">
        <v>48.08</v>
      </c>
      <c r="M244" s="11" cm="1">
        <f t="array" ref="M244">IF(ISBLANK(Table16[[#This Row],[Unit Price]]),AVERAGE(_xlfn._xlws.FILTER(Table16[Unit Price],NOT(ISBLANK(Table16[Unit Price])))),Table16[[#This Row],[Unit Price]])</f>
        <v>48.08</v>
      </c>
      <c r="N244" s="3">
        <v>326.42</v>
      </c>
      <c r="O244" s="11">
        <f>Table16[[#This Row],[Unit sold Filled]]*Table16[[#This Row],[Unit Price Filled]]</f>
        <v>21972.559999999998</v>
      </c>
    </row>
    <row r="245" spans="1:15" x14ac:dyDescent="0.3">
      <c r="A245" s="1" t="s">
        <v>272</v>
      </c>
      <c r="B245" s="1" t="s">
        <v>22</v>
      </c>
      <c r="C245" s="3" t="str">
        <f t="shared" si="7"/>
        <v>North</v>
      </c>
      <c r="D245" s="1" t="s">
        <v>18</v>
      </c>
      <c r="E245" s="1" t="s">
        <v>19</v>
      </c>
      <c r="F245" s="3" t="str">
        <f t="shared" si="6"/>
        <v>Food</v>
      </c>
      <c r="G245" s="1" t="s">
        <v>14</v>
      </c>
      <c r="H245" s="1" t="s">
        <v>28</v>
      </c>
      <c r="I245" s="2">
        <v>45170</v>
      </c>
      <c r="J245" s="3">
        <v>437</v>
      </c>
      <c r="K245" s="10" cm="1">
        <f t="array" ref="K245">IF(ISBLANK(Table16[[#This Row],[Units Sold]]),AVERAGE(_xlfn._xlws.FILTER(Table16[Units Sold],NOT(ISBLANK(Table16[Units Sold])))),Table16[[#This Row],[Units Sold]])</f>
        <v>437</v>
      </c>
      <c r="L245" s="3">
        <v>408.8</v>
      </c>
      <c r="M245" s="11" cm="1">
        <f t="array" ref="M245">IF(ISBLANK(Table16[[#This Row],[Unit Price]]),AVERAGE(_xlfn._xlws.FILTER(Table16[Unit Price],NOT(ISBLANK(Table16[Unit Price])))),Table16[[#This Row],[Unit Price]])</f>
        <v>408.8</v>
      </c>
      <c r="N245" s="3">
        <v>246.76</v>
      </c>
      <c r="O245" s="11">
        <f>Table16[[#This Row],[Unit sold Filled]]*Table16[[#This Row],[Unit Price Filled]]</f>
        <v>178645.6</v>
      </c>
    </row>
    <row r="246" spans="1:15" x14ac:dyDescent="0.3">
      <c r="A246" s="1" t="s">
        <v>273</v>
      </c>
      <c r="B246" s="1" t="s">
        <v>11</v>
      </c>
      <c r="C246" s="3" t="str">
        <f t="shared" si="7"/>
        <v>East</v>
      </c>
      <c r="D246" s="1" t="s">
        <v>26</v>
      </c>
      <c r="E246" s="1" t="s">
        <v>27</v>
      </c>
      <c r="F246" s="3" t="str">
        <f t="shared" si="6"/>
        <v>Furniture</v>
      </c>
      <c r="G246" s="1" t="s">
        <v>14</v>
      </c>
      <c r="H246" s="1" t="s">
        <v>15</v>
      </c>
      <c r="I246" s="2">
        <v>45171</v>
      </c>
      <c r="J246" s="3">
        <v>190</v>
      </c>
      <c r="K246" s="10" cm="1">
        <f t="array" ref="K246">IF(ISBLANK(Table16[[#This Row],[Units Sold]]),AVERAGE(_xlfn._xlws.FILTER(Table16[Units Sold],NOT(ISBLANK(Table16[Units Sold])))),Table16[[#This Row],[Units Sold]])</f>
        <v>190</v>
      </c>
      <c r="L246" s="3">
        <v>189.89</v>
      </c>
      <c r="M246" s="11" cm="1">
        <f t="array" ref="M246">IF(ISBLANK(Table16[[#This Row],[Unit Price]]),AVERAGE(_xlfn._xlws.FILTER(Table16[Unit Price],NOT(ISBLANK(Table16[Unit Price])))),Table16[[#This Row],[Unit Price]])</f>
        <v>189.89</v>
      </c>
      <c r="N246" s="3">
        <v>275.77999999999997</v>
      </c>
      <c r="O246" s="11">
        <f>Table16[[#This Row],[Unit sold Filled]]*Table16[[#This Row],[Unit Price Filled]]</f>
        <v>36079.1</v>
      </c>
    </row>
    <row r="247" spans="1:15" x14ac:dyDescent="0.3">
      <c r="A247" s="1" t="s">
        <v>274</v>
      </c>
      <c r="B247" s="1" t="s">
        <v>48</v>
      </c>
      <c r="C247" s="3" t="str">
        <f t="shared" si="7"/>
        <v>South</v>
      </c>
      <c r="D247" s="1" t="s">
        <v>50</v>
      </c>
      <c r="E247" s="1" t="s">
        <v>42</v>
      </c>
      <c r="F247" s="3" t="str">
        <f t="shared" si="6"/>
        <v>Electronics</v>
      </c>
      <c r="G247" s="1" t="s">
        <v>24</v>
      </c>
      <c r="H247" s="1" t="s">
        <v>28</v>
      </c>
      <c r="I247" s="2">
        <v>45172</v>
      </c>
      <c r="J247" s="3">
        <v>33</v>
      </c>
      <c r="K247" s="10" cm="1">
        <f t="array" ref="K247">IF(ISBLANK(Table16[[#This Row],[Units Sold]]),AVERAGE(_xlfn._xlws.FILTER(Table16[Units Sold],NOT(ISBLANK(Table16[Units Sold])))),Table16[[#This Row],[Units Sold]])</f>
        <v>33</v>
      </c>
      <c r="L247" s="3">
        <v>265.62</v>
      </c>
      <c r="M247" s="11" cm="1">
        <f t="array" ref="M247">IF(ISBLANK(Table16[[#This Row],[Unit Price]]),AVERAGE(_xlfn._xlws.FILTER(Table16[Unit Price],NOT(ISBLANK(Table16[Unit Price])))),Table16[[#This Row],[Unit Price]])</f>
        <v>265.62</v>
      </c>
      <c r="N247" s="3">
        <v>151.35</v>
      </c>
      <c r="O247" s="11">
        <f>Table16[[#This Row],[Unit sold Filled]]*Table16[[#This Row],[Unit Price Filled]]</f>
        <v>8765.4600000000009</v>
      </c>
    </row>
    <row r="248" spans="1:15" x14ac:dyDescent="0.3">
      <c r="A248" s="1" t="s">
        <v>275</v>
      </c>
      <c r="B248" s="1" t="s">
        <v>22</v>
      </c>
      <c r="C248" s="3" t="str">
        <f t="shared" si="7"/>
        <v>North</v>
      </c>
      <c r="D248" s="1" t="s">
        <v>26</v>
      </c>
      <c r="E248" s="1" t="s">
        <v>42</v>
      </c>
      <c r="F248" s="3" t="str">
        <f t="shared" si="6"/>
        <v>Electronics</v>
      </c>
      <c r="G248" s="1" t="s">
        <v>14</v>
      </c>
      <c r="H248" s="1" t="s">
        <v>15</v>
      </c>
      <c r="I248" s="2">
        <v>45173</v>
      </c>
      <c r="J248" s="3">
        <v>325</v>
      </c>
      <c r="K248" s="10" cm="1">
        <f t="array" ref="K248">IF(ISBLANK(Table16[[#This Row],[Units Sold]]),AVERAGE(_xlfn._xlws.FILTER(Table16[Units Sold],NOT(ISBLANK(Table16[Units Sold])))),Table16[[#This Row],[Units Sold]])</f>
        <v>325</v>
      </c>
      <c r="L248" s="3">
        <v>60.59</v>
      </c>
      <c r="M248" s="11" cm="1">
        <f t="array" ref="M248">IF(ISBLANK(Table16[[#This Row],[Unit Price]]),AVERAGE(_xlfn._xlws.FILTER(Table16[Unit Price],NOT(ISBLANK(Table16[Unit Price])))),Table16[[#This Row],[Unit Price]])</f>
        <v>60.59</v>
      </c>
      <c r="N248" s="3">
        <v>216.4</v>
      </c>
      <c r="O248" s="11">
        <f>Table16[[#This Row],[Unit sold Filled]]*Table16[[#This Row],[Unit Price Filled]]</f>
        <v>19691.75</v>
      </c>
    </row>
    <row r="249" spans="1:15" x14ac:dyDescent="0.3">
      <c r="A249" s="1" t="s">
        <v>276</v>
      </c>
      <c r="B249" s="1" t="s">
        <v>22</v>
      </c>
      <c r="C249" s="3" t="str">
        <f t="shared" si="7"/>
        <v>North</v>
      </c>
      <c r="D249" s="1" t="s">
        <v>26</v>
      </c>
      <c r="E249" s="1" t="s">
        <v>27</v>
      </c>
      <c r="F249" s="3" t="str">
        <f t="shared" si="6"/>
        <v>Furniture</v>
      </c>
      <c r="G249" s="1" t="s">
        <v>24</v>
      </c>
      <c r="H249" s="1" t="s">
        <v>15</v>
      </c>
      <c r="I249" s="2">
        <v>45174</v>
      </c>
      <c r="J249" s="3">
        <v>387</v>
      </c>
      <c r="K249" s="10" cm="1">
        <f t="array" ref="K249">IF(ISBLANK(Table16[[#This Row],[Units Sold]]),AVERAGE(_xlfn._xlws.FILTER(Table16[Units Sold],NOT(ISBLANK(Table16[Units Sold])))),Table16[[#This Row],[Units Sold]])</f>
        <v>387</v>
      </c>
      <c r="L249" s="3">
        <v>6.28</v>
      </c>
      <c r="M249" s="11" cm="1">
        <f t="array" ref="M249">IF(ISBLANK(Table16[[#This Row],[Unit Price]]),AVERAGE(_xlfn._xlws.FILTER(Table16[Unit Price],NOT(ISBLANK(Table16[Unit Price])))),Table16[[#This Row],[Unit Price]])</f>
        <v>6.28</v>
      </c>
      <c r="N249" s="3">
        <v>210.62</v>
      </c>
      <c r="O249" s="11">
        <f>Table16[[#This Row],[Unit sold Filled]]*Table16[[#This Row],[Unit Price Filled]]</f>
        <v>2430.36</v>
      </c>
    </row>
    <row r="250" spans="1:15" x14ac:dyDescent="0.3">
      <c r="A250" s="1" t="s">
        <v>277</v>
      </c>
      <c r="B250" s="1" t="s">
        <v>22</v>
      </c>
      <c r="C250" s="3" t="str">
        <f t="shared" si="7"/>
        <v>North</v>
      </c>
      <c r="D250" s="1" t="s">
        <v>26</v>
      </c>
      <c r="E250" s="1" t="s">
        <v>19</v>
      </c>
      <c r="F250" s="3" t="str">
        <f t="shared" si="6"/>
        <v>Food</v>
      </c>
      <c r="G250" s="1" t="s">
        <v>14</v>
      </c>
      <c r="H250" s="1" t="s">
        <v>28</v>
      </c>
      <c r="I250" s="2">
        <v>45175</v>
      </c>
      <c r="J250" s="3">
        <v>396</v>
      </c>
      <c r="K250" s="10" cm="1">
        <f t="array" ref="K250">IF(ISBLANK(Table16[[#This Row],[Units Sold]]),AVERAGE(_xlfn._xlws.FILTER(Table16[Units Sold],NOT(ISBLANK(Table16[Units Sold])))),Table16[[#This Row],[Units Sold]])</f>
        <v>396</v>
      </c>
      <c r="L250" s="3">
        <v>320.8</v>
      </c>
      <c r="M250" s="11" cm="1">
        <f t="array" ref="M250">IF(ISBLANK(Table16[[#This Row],[Unit Price]]),AVERAGE(_xlfn._xlws.FILTER(Table16[Unit Price],NOT(ISBLANK(Table16[Unit Price])))),Table16[[#This Row],[Unit Price]])</f>
        <v>320.8</v>
      </c>
      <c r="N250" s="3">
        <v>339.52</v>
      </c>
      <c r="O250" s="11">
        <f>Table16[[#This Row],[Unit sold Filled]]*Table16[[#This Row],[Unit Price Filled]]</f>
        <v>127036.8</v>
      </c>
    </row>
    <row r="251" spans="1:15" x14ac:dyDescent="0.3">
      <c r="A251" s="1" t="s">
        <v>278</v>
      </c>
      <c r="B251" s="1" t="s">
        <v>11</v>
      </c>
      <c r="C251" s="3" t="str">
        <f t="shared" si="7"/>
        <v>East</v>
      </c>
      <c r="D251" s="1" t="s">
        <v>26</v>
      </c>
      <c r="E251" s="1" t="s">
        <v>42</v>
      </c>
      <c r="F251" s="3" t="str">
        <f t="shared" si="6"/>
        <v>Electronics</v>
      </c>
      <c r="G251" s="1" t="s">
        <v>14</v>
      </c>
      <c r="H251" s="1" t="s">
        <v>15</v>
      </c>
      <c r="I251" s="2">
        <v>45176</v>
      </c>
      <c r="J251" s="3">
        <v>413</v>
      </c>
      <c r="K251" s="10" cm="1">
        <f t="array" ref="K251">IF(ISBLANK(Table16[[#This Row],[Units Sold]]),AVERAGE(_xlfn._xlws.FILTER(Table16[Units Sold],NOT(ISBLANK(Table16[Units Sold])))),Table16[[#This Row],[Units Sold]])</f>
        <v>413</v>
      </c>
      <c r="L251" s="3">
        <v>260.01</v>
      </c>
      <c r="M251" s="11" cm="1">
        <f t="array" ref="M251">IF(ISBLANK(Table16[[#This Row],[Unit Price]]),AVERAGE(_xlfn._xlws.FILTER(Table16[Unit Price],NOT(ISBLANK(Table16[Unit Price])))),Table16[[#This Row],[Unit Price]])</f>
        <v>260.01</v>
      </c>
      <c r="N251" s="3">
        <v>336.31</v>
      </c>
      <c r="O251" s="11">
        <f>Table16[[#This Row],[Unit sold Filled]]*Table16[[#This Row],[Unit Price Filled]]</f>
        <v>107384.12999999999</v>
      </c>
    </row>
    <row r="252" spans="1:15" x14ac:dyDescent="0.3">
      <c r="A252" s="1" t="s">
        <v>279</v>
      </c>
      <c r="B252" s="1" t="s">
        <v>48</v>
      </c>
      <c r="C252" s="3" t="str">
        <f t="shared" si="7"/>
        <v>South</v>
      </c>
      <c r="D252" s="1" t="s">
        <v>31</v>
      </c>
      <c r="E252" s="1" t="s">
        <v>42</v>
      </c>
      <c r="F252" s="3" t="str">
        <f t="shared" si="6"/>
        <v>Electronics</v>
      </c>
      <c r="G252" s="1" t="s">
        <v>14</v>
      </c>
      <c r="H252" s="1" t="s">
        <v>15</v>
      </c>
      <c r="I252" s="2">
        <v>45177</v>
      </c>
      <c r="J252" s="1"/>
      <c r="K252" s="10" cm="1">
        <f t="array" ref="K252">IF(ISBLANK(Table16[[#This Row],[Units Sold]]),AVERAGE(_xlfn._xlws.FILTER(Table16[Units Sold],NOT(ISBLANK(Table16[Units Sold])))),Table16[[#This Row],[Units Sold]])</f>
        <v>255.90294117647059</v>
      </c>
      <c r="L252" s="3">
        <v>298.8</v>
      </c>
      <c r="M252" s="11" cm="1">
        <f t="array" ref="M252">IF(ISBLANK(Table16[[#This Row],[Unit Price]]),AVERAGE(_xlfn._xlws.FILTER(Table16[Unit Price],NOT(ISBLANK(Table16[Unit Price])))),Table16[[#This Row],[Unit Price]])</f>
        <v>298.8</v>
      </c>
      <c r="N252" s="3">
        <v>333.41</v>
      </c>
      <c r="O252" s="11">
        <f>Table16[[#This Row],[Unit sold Filled]]*Table16[[#This Row],[Unit Price Filled]]</f>
        <v>76463.798823529418</v>
      </c>
    </row>
    <row r="253" spans="1:15" x14ac:dyDescent="0.3">
      <c r="A253" s="1" t="s">
        <v>280</v>
      </c>
      <c r="B253" s="1" t="s">
        <v>22</v>
      </c>
      <c r="C253" s="3" t="str">
        <f t="shared" si="7"/>
        <v>North</v>
      </c>
      <c r="D253" s="1" t="s">
        <v>18</v>
      </c>
      <c r="E253" s="1" t="s">
        <v>13</v>
      </c>
      <c r="F253" s="3" t="str">
        <f t="shared" si="6"/>
        <v>Beverages</v>
      </c>
      <c r="G253" s="1" t="s">
        <v>24</v>
      </c>
      <c r="H253" s="1" t="s">
        <v>20</v>
      </c>
      <c r="I253" s="2">
        <v>45178</v>
      </c>
      <c r="J253" s="3">
        <v>24</v>
      </c>
      <c r="K253" s="10" cm="1">
        <f t="array" ref="K253">IF(ISBLANK(Table16[[#This Row],[Units Sold]]),AVERAGE(_xlfn._xlws.FILTER(Table16[Units Sold],NOT(ISBLANK(Table16[Units Sold])))),Table16[[#This Row],[Units Sold]])</f>
        <v>24</v>
      </c>
      <c r="L253" s="3">
        <v>397.9</v>
      </c>
      <c r="M253" s="11" cm="1">
        <f t="array" ref="M253">IF(ISBLANK(Table16[[#This Row],[Unit Price]]),AVERAGE(_xlfn._xlws.FILTER(Table16[Unit Price],NOT(ISBLANK(Table16[Unit Price])))),Table16[[#This Row],[Unit Price]])</f>
        <v>397.9</v>
      </c>
      <c r="N253" s="3">
        <v>6.39</v>
      </c>
      <c r="O253" s="11">
        <f>Table16[[#This Row],[Unit sold Filled]]*Table16[[#This Row],[Unit Price Filled]]</f>
        <v>9549.5999999999985</v>
      </c>
    </row>
    <row r="254" spans="1:15" x14ac:dyDescent="0.3">
      <c r="A254" s="1" t="s">
        <v>281</v>
      </c>
      <c r="B254" s="1" t="s">
        <v>17</v>
      </c>
      <c r="C254" s="3" t="str">
        <f t="shared" si="7"/>
        <v>West</v>
      </c>
      <c r="D254" s="1" t="s">
        <v>12</v>
      </c>
      <c r="E254" s="1"/>
      <c r="F254" s="3" t="str">
        <f t="shared" si="6"/>
        <v>Unknown</v>
      </c>
      <c r="G254" s="1" t="s">
        <v>14</v>
      </c>
      <c r="H254" s="1" t="s">
        <v>15</v>
      </c>
      <c r="I254" s="2">
        <v>45179</v>
      </c>
      <c r="J254" s="3">
        <v>162</v>
      </c>
      <c r="K254" s="10" cm="1">
        <f t="array" ref="K254">IF(ISBLANK(Table16[[#This Row],[Units Sold]]),AVERAGE(_xlfn._xlws.FILTER(Table16[Units Sold],NOT(ISBLANK(Table16[Units Sold])))),Table16[[#This Row],[Units Sold]])</f>
        <v>162</v>
      </c>
      <c r="L254" s="3">
        <v>325.07</v>
      </c>
      <c r="M254" s="11" cm="1">
        <f t="array" ref="M254">IF(ISBLANK(Table16[[#This Row],[Unit Price]]),AVERAGE(_xlfn._xlws.FILTER(Table16[Unit Price],NOT(ISBLANK(Table16[Unit Price])))),Table16[[#This Row],[Unit Price]])</f>
        <v>325.07</v>
      </c>
      <c r="N254" s="3">
        <v>300.32</v>
      </c>
      <c r="O254" s="11">
        <f>Table16[[#This Row],[Unit sold Filled]]*Table16[[#This Row],[Unit Price Filled]]</f>
        <v>52661.34</v>
      </c>
    </row>
    <row r="255" spans="1:15" x14ac:dyDescent="0.3">
      <c r="A255" s="1" t="s">
        <v>282</v>
      </c>
      <c r="B255" s="1" t="s">
        <v>22</v>
      </c>
      <c r="C255" s="3" t="str">
        <f t="shared" si="7"/>
        <v>North</v>
      </c>
      <c r="D255" s="1" t="s">
        <v>26</v>
      </c>
      <c r="E255" s="1" t="s">
        <v>42</v>
      </c>
      <c r="F255" s="3" t="str">
        <f t="shared" si="6"/>
        <v>Electronics</v>
      </c>
      <c r="G255" s="1" t="s">
        <v>24</v>
      </c>
      <c r="H255" s="1" t="s">
        <v>28</v>
      </c>
      <c r="I255" s="2">
        <v>45180</v>
      </c>
      <c r="J255" s="3">
        <v>231</v>
      </c>
      <c r="K255" s="10" cm="1">
        <f t="array" ref="K255">IF(ISBLANK(Table16[[#This Row],[Units Sold]]),AVERAGE(_xlfn._xlws.FILTER(Table16[Units Sold],NOT(ISBLANK(Table16[Units Sold])))),Table16[[#This Row],[Units Sold]])</f>
        <v>231</v>
      </c>
      <c r="L255" s="3">
        <v>91.51</v>
      </c>
      <c r="M255" s="11" cm="1">
        <f t="array" ref="M255">IF(ISBLANK(Table16[[#This Row],[Unit Price]]),AVERAGE(_xlfn._xlws.FILTER(Table16[Unit Price],NOT(ISBLANK(Table16[Unit Price])))),Table16[[#This Row],[Unit Price]])</f>
        <v>91.51</v>
      </c>
      <c r="N255" s="3">
        <v>303.95</v>
      </c>
      <c r="O255" s="11">
        <f>Table16[[#This Row],[Unit sold Filled]]*Table16[[#This Row],[Unit Price Filled]]</f>
        <v>21138.81</v>
      </c>
    </row>
    <row r="256" spans="1:15" x14ac:dyDescent="0.3">
      <c r="A256" s="1" t="s">
        <v>283</v>
      </c>
      <c r="B256" s="1" t="s">
        <v>22</v>
      </c>
      <c r="C256" s="3" t="str">
        <f t="shared" si="7"/>
        <v>North</v>
      </c>
      <c r="D256" s="1" t="s">
        <v>50</v>
      </c>
      <c r="E256" s="1" t="s">
        <v>19</v>
      </c>
      <c r="F256" s="3" t="str">
        <f t="shared" si="6"/>
        <v>Food</v>
      </c>
      <c r="G256" s="1" t="s">
        <v>24</v>
      </c>
      <c r="H256" s="1" t="s">
        <v>28</v>
      </c>
      <c r="I256" s="2">
        <v>45181</v>
      </c>
      <c r="J256" s="3">
        <v>215</v>
      </c>
      <c r="K256" s="10" cm="1">
        <f t="array" ref="K256">IF(ISBLANK(Table16[[#This Row],[Units Sold]]),AVERAGE(_xlfn._xlws.FILTER(Table16[Units Sold],NOT(ISBLANK(Table16[Units Sold])))),Table16[[#This Row],[Units Sold]])</f>
        <v>215</v>
      </c>
      <c r="L256" s="3">
        <v>183.58</v>
      </c>
      <c r="M256" s="11" cm="1">
        <f t="array" ref="M256">IF(ISBLANK(Table16[[#This Row],[Unit Price]]),AVERAGE(_xlfn._xlws.FILTER(Table16[Unit Price],NOT(ISBLANK(Table16[Unit Price])))),Table16[[#This Row],[Unit Price]])</f>
        <v>183.58</v>
      </c>
      <c r="N256" s="3">
        <v>271.99</v>
      </c>
      <c r="O256" s="11">
        <f>Table16[[#This Row],[Unit sold Filled]]*Table16[[#This Row],[Unit Price Filled]]</f>
        <v>39469.700000000004</v>
      </c>
    </row>
    <row r="257" spans="1:15" x14ac:dyDescent="0.3">
      <c r="A257" s="1" t="s">
        <v>284</v>
      </c>
      <c r="B257" s="1" t="s">
        <v>11</v>
      </c>
      <c r="C257" s="3" t="str">
        <f t="shared" si="7"/>
        <v>East</v>
      </c>
      <c r="D257" s="1" t="s">
        <v>26</v>
      </c>
      <c r="E257" s="1" t="s">
        <v>27</v>
      </c>
      <c r="F257" s="3" t="str">
        <f t="shared" si="6"/>
        <v>Furniture</v>
      </c>
      <c r="G257" s="1" t="s">
        <v>24</v>
      </c>
      <c r="H257" s="1" t="s">
        <v>15</v>
      </c>
      <c r="I257" s="2">
        <v>45182</v>
      </c>
      <c r="J257" s="3">
        <v>464</v>
      </c>
      <c r="K257" s="10" cm="1">
        <f t="array" ref="K257">IF(ISBLANK(Table16[[#This Row],[Units Sold]]),AVERAGE(_xlfn._xlws.FILTER(Table16[Units Sold],NOT(ISBLANK(Table16[Units Sold])))),Table16[[#This Row],[Units Sold]])</f>
        <v>464</v>
      </c>
      <c r="L257" s="3">
        <v>453.42</v>
      </c>
      <c r="M257" s="11" cm="1">
        <f t="array" ref="M257">IF(ISBLANK(Table16[[#This Row],[Unit Price]]),AVERAGE(_xlfn._xlws.FILTER(Table16[Unit Price],NOT(ISBLANK(Table16[Unit Price])))),Table16[[#This Row],[Unit Price]])</f>
        <v>453.42</v>
      </c>
      <c r="N257" s="3">
        <v>302.99</v>
      </c>
      <c r="O257" s="11">
        <f>Table16[[#This Row],[Unit sold Filled]]*Table16[[#This Row],[Unit Price Filled]]</f>
        <v>210386.88</v>
      </c>
    </row>
    <row r="258" spans="1:15" x14ac:dyDescent="0.3">
      <c r="A258" s="1" t="s">
        <v>285</v>
      </c>
      <c r="B258" s="1" t="s">
        <v>11</v>
      </c>
      <c r="C258" s="3" t="str">
        <f t="shared" si="7"/>
        <v>East</v>
      </c>
      <c r="D258" s="1" t="s">
        <v>50</v>
      </c>
      <c r="E258" s="1" t="s">
        <v>23</v>
      </c>
      <c r="F258" s="3" t="str">
        <f t="shared" ref="F258:F321" si="8">IF(ISBLANK($E258), "Unknown", $E258)</f>
        <v>Clothing</v>
      </c>
      <c r="G258" s="1" t="s">
        <v>14</v>
      </c>
      <c r="H258" s="1" t="s">
        <v>20</v>
      </c>
      <c r="I258" s="2">
        <v>45183</v>
      </c>
      <c r="J258" s="3">
        <v>282</v>
      </c>
      <c r="K258" s="10" cm="1">
        <f t="array" ref="K258">IF(ISBLANK(Table16[[#This Row],[Units Sold]]),AVERAGE(_xlfn._xlws.FILTER(Table16[Units Sold],NOT(ISBLANK(Table16[Units Sold])))),Table16[[#This Row],[Units Sold]])</f>
        <v>282</v>
      </c>
      <c r="L258" s="1"/>
      <c r="M258" s="11" cm="1">
        <f t="array" ref="M258">IF(ISBLANK(Table16[[#This Row],[Unit Price]]),AVERAGE(_xlfn._xlws.FILTER(Table16[Unit Price],NOT(ISBLANK(Table16[Unit Price])))),Table16[[#This Row],[Unit Price]])</f>
        <v>249.64520588235297</v>
      </c>
      <c r="N258" s="3">
        <v>337.1</v>
      </c>
      <c r="O258" s="11">
        <f>Table16[[#This Row],[Unit sold Filled]]*Table16[[#This Row],[Unit Price Filled]]</f>
        <v>70399.948058823531</v>
      </c>
    </row>
    <row r="259" spans="1:15" x14ac:dyDescent="0.3">
      <c r="A259" s="1" t="s">
        <v>286</v>
      </c>
      <c r="B259" s="1" t="s">
        <v>48</v>
      </c>
      <c r="C259" s="3" t="str">
        <f t="shared" ref="C259:C322" si="9">IF(ISBLANK($B259), "West", $B259)</f>
        <v>South</v>
      </c>
      <c r="D259" s="1" t="s">
        <v>31</v>
      </c>
      <c r="E259" s="1" t="s">
        <v>42</v>
      </c>
      <c r="F259" s="3" t="str">
        <f t="shared" si="8"/>
        <v>Electronics</v>
      </c>
      <c r="G259" s="1" t="s">
        <v>14</v>
      </c>
      <c r="H259" s="1" t="s">
        <v>20</v>
      </c>
      <c r="I259" s="2">
        <v>45184</v>
      </c>
      <c r="J259" s="3">
        <v>391</v>
      </c>
      <c r="K259" s="10" cm="1">
        <f t="array" ref="K259">IF(ISBLANK(Table16[[#This Row],[Units Sold]]),AVERAGE(_xlfn._xlws.FILTER(Table16[Units Sold],NOT(ISBLANK(Table16[Units Sold])))),Table16[[#This Row],[Units Sold]])</f>
        <v>391</v>
      </c>
      <c r="L259" s="3">
        <v>280.54000000000002</v>
      </c>
      <c r="M259" s="11" cm="1">
        <f t="array" ref="M259">IF(ISBLANK(Table16[[#This Row],[Unit Price]]),AVERAGE(_xlfn._xlws.FILTER(Table16[Unit Price],NOT(ISBLANK(Table16[Unit Price])))),Table16[[#This Row],[Unit Price]])</f>
        <v>280.54000000000002</v>
      </c>
      <c r="N259" s="3">
        <v>189.19</v>
      </c>
      <c r="O259" s="11">
        <f>Table16[[#This Row],[Unit sold Filled]]*Table16[[#This Row],[Unit Price Filled]]</f>
        <v>109691.14000000001</v>
      </c>
    </row>
    <row r="260" spans="1:15" x14ac:dyDescent="0.3">
      <c r="A260" s="1" t="s">
        <v>287</v>
      </c>
      <c r="B260" s="1" t="s">
        <v>17</v>
      </c>
      <c r="C260" s="3" t="str">
        <f t="shared" si="9"/>
        <v>West</v>
      </c>
      <c r="D260" s="1" t="s">
        <v>50</v>
      </c>
      <c r="E260" s="1" t="s">
        <v>13</v>
      </c>
      <c r="F260" s="3" t="str">
        <f t="shared" si="8"/>
        <v>Beverages</v>
      </c>
      <c r="G260" s="1" t="s">
        <v>14</v>
      </c>
      <c r="H260" s="1" t="s">
        <v>15</v>
      </c>
      <c r="I260" s="2">
        <v>45185</v>
      </c>
      <c r="J260" s="3">
        <v>245</v>
      </c>
      <c r="K260" s="10" cm="1">
        <f t="array" ref="K260">IF(ISBLANK(Table16[[#This Row],[Units Sold]]),AVERAGE(_xlfn._xlws.FILTER(Table16[Units Sold],NOT(ISBLANK(Table16[Units Sold])))),Table16[[#This Row],[Units Sold]])</f>
        <v>245</v>
      </c>
      <c r="L260" s="3">
        <v>131.54</v>
      </c>
      <c r="M260" s="11" cm="1">
        <f t="array" ref="M260">IF(ISBLANK(Table16[[#This Row],[Unit Price]]),AVERAGE(_xlfn._xlws.FILTER(Table16[Unit Price],NOT(ISBLANK(Table16[Unit Price])))),Table16[[#This Row],[Unit Price]])</f>
        <v>131.54</v>
      </c>
      <c r="N260" s="3">
        <v>201.82</v>
      </c>
      <c r="O260" s="11">
        <f>Table16[[#This Row],[Unit sold Filled]]*Table16[[#This Row],[Unit Price Filled]]</f>
        <v>32227.3</v>
      </c>
    </row>
    <row r="261" spans="1:15" x14ac:dyDescent="0.3">
      <c r="A261" s="1" t="s">
        <v>288</v>
      </c>
      <c r="B261" s="1" t="s">
        <v>11</v>
      </c>
      <c r="C261" s="3" t="str">
        <f t="shared" si="9"/>
        <v>East</v>
      </c>
      <c r="D261" s="1" t="s">
        <v>12</v>
      </c>
      <c r="E261" s="1" t="s">
        <v>27</v>
      </c>
      <c r="F261" s="3" t="str">
        <f t="shared" si="8"/>
        <v>Furniture</v>
      </c>
      <c r="G261" s="1" t="s">
        <v>14</v>
      </c>
      <c r="H261" s="1" t="s">
        <v>15</v>
      </c>
      <c r="I261" s="2">
        <v>45186</v>
      </c>
      <c r="J261" s="3">
        <v>349</v>
      </c>
      <c r="K261" s="10" cm="1">
        <f t="array" ref="K261">IF(ISBLANK(Table16[[#This Row],[Units Sold]]),AVERAGE(_xlfn._xlws.FILTER(Table16[Units Sold],NOT(ISBLANK(Table16[Units Sold])))),Table16[[#This Row],[Units Sold]])</f>
        <v>349</v>
      </c>
      <c r="L261" s="3">
        <v>154.52000000000001</v>
      </c>
      <c r="M261" s="11" cm="1">
        <f t="array" ref="M261">IF(ISBLANK(Table16[[#This Row],[Unit Price]]),AVERAGE(_xlfn._xlws.FILTER(Table16[Unit Price],NOT(ISBLANK(Table16[Unit Price])))),Table16[[#This Row],[Unit Price]])</f>
        <v>154.52000000000001</v>
      </c>
      <c r="N261" s="3">
        <v>51.64</v>
      </c>
      <c r="O261" s="11">
        <f>Table16[[#This Row],[Unit sold Filled]]*Table16[[#This Row],[Unit Price Filled]]</f>
        <v>53927.48</v>
      </c>
    </row>
    <row r="262" spans="1:15" x14ac:dyDescent="0.3">
      <c r="A262" s="1" t="s">
        <v>289</v>
      </c>
      <c r="B262" s="1" t="s">
        <v>22</v>
      </c>
      <c r="C262" s="3" t="str">
        <f t="shared" si="9"/>
        <v>North</v>
      </c>
      <c r="D262" s="1" t="s">
        <v>18</v>
      </c>
      <c r="E262" s="1" t="s">
        <v>19</v>
      </c>
      <c r="F262" s="3" t="str">
        <f t="shared" si="8"/>
        <v>Food</v>
      </c>
      <c r="G262" s="1" t="s">
        <v>24</v>
      </c>
      <c r="H262" s="1" t="s">
        <v>28</v>
      </c>
      <c r="I262" s="2">
        <v>45187</v>
      </c>
      <c r="J262" s="3">
        <v>237</v>
      </c>
      <c r="K262" s="10" cm="1">
        <f t="array" ref="K262">IF(ISBLANK(Table16[[#This Row],[Units Sold]]),AVERAGE(_xlfn._xlws.FILTER(Table16[Units Sold],NOT(ISBLANK(Table16[Units Sold])))),Table16[[#This Row],[Units Sold]])</f>
        <v>237</v>
      </c>
      <c r="L262" s="1"/>
      <c r="M262" s="11" cm="1">
        <f t="array" ref="M262">IF(ISBLANK(Table16[[#This Row],[Unit Price]]),AVERAGE(_xlfn._xlws.FILTER(Table16[Unit Price],NOT(ISBLANK(Table16[Unit Price])))),Table16[[#This Row],[Unit Price]])</f>
        <v>249.64520588235297</v>
      </c>
      <c r="N262" s="3">
        <v>155.38</v>
      </c>
      <c r="O262" s="11">
        <f>Table16[[#This Row],[Unit sold Filled]]*Table16[[#This Row],[Unit Price Filled]]</f>
        <v>59165.913794117652</v>
      </c>
    </row>
    <row r="263" spans="1:15" x14ac:dyDescent="0.3">
      <c r="A263" s="1" t="s">
        <v>290</v>
      </c>
      <c r="B263" s="1" t="s">
        <v>48</v>
      </c>
      <c r="C263" s="3" t="str">
        <f t="shared" si="9"/>
        <v>South</v>
      </c>
      <c r="D263" s="1" t="s">
        <v>50</v>
      </c>
      <c r="E263" s="1" t="s">
        <v>27</v>
      </c>
      <c r="F263" s="3" t="str">
        <f t="shared" si="8"/>
        <v>Furniture</v>
      </c>
      <c r="G263" s="1" t="s">
        <v>24</v>
      </c>
      <c r="H263" s="1" t="s">
        <v>15</v>
      </c>
      <c r="I263" s="2">
        <v>45188</v>
      </c>
      <c r="J263" s="3">
        <v>18</v>
      </c>
      <c r="K263" s="10" cm="1">
        <f t="array" ref="K263">IF(ISBLANK(Table16[[#This Row],[Units Sold]]),AVERAGE(_xlfn._xlws.FILTER(Table16[Units Sold],NOT(ISBLANK(Table16[Units Sold])))),Table16[[#This Row],[Units Sold]])</f>
        <v>18</v>
      </c>
      <c r="L263" s="3">
        <v>426.33</v>
      </c>
      <c r="M263" s="11" cm="1">
        <f t="array" ref="M263">IF(ISBLANK(Table16[[#This Row],[Unit Price]]),AVERAGE(_xlfn._xlws.FILTER(Table16[Unit Price],NOT(ISBLANK(Table16[Unit Price])))),Table16[[#This Row],[Unit Price]])</f>
        <v>426.33</v>
      </c>
      <c r="N263" s="3">
        <v>258.06</v>
      </c>
      <c r="O263" s="11">
        <f>Table16[[#This Row],[Unit sold Filled]]*Table16[[#This Row],[Unit Price Filled]]</f>
        <v>7673.94</v>
      </c>
    </row>
    <row r="264" spans="1:15" x14ac:dyDescent="0.3">
      <c r="A264" s="1" t="s">
        <v>291</v>
      </c>
      <c r="B264" s="1" t="s">
        <v>22</v>
      </c>
      <c r="C264" s="3" t="str">
        <f t="shared" si="9"/>
        <v>North</v>
      </c>
      <c r="D264" s="1" t="s">
        <v>50</v>
      </c>
      <c r="E264" s="1" t="s">
        <v>42</v>
      </c>
      <c r="F264" s="3" t="str">
        <f t="shared" si="8"/>
        <v>Electronics</v>
      </c>
      <c r="G264" s="1" t="s">
        <v>24</v>
      </c>
      <c r="H264" s="1" t="s">
        <v>20</v>
      </c>
      <c r="I264" s="2">
        <v>45189</v>
      </c>
      <c r="J264" s="3">
        <v>175</v>
      </c>
      <c r="K264" s="10" cm="1">
        <f t="array" ref="K264">IF(ISBLANK(Table16[[#This Row],[Units Sold]]),AVERAGE(_xlfn._xlws.FILTER(Table16[Units Sold],NOT(ISBLANK(Table16[Units Sold])))),Table16[[#This Row],[Units Sold]])</f>
        <v>175</v>
      </c>
      <c r="L264" s="3">
        <v>337.36</v>
      </c>
      <c r="M264" s="11" cm="1">
        <f t="array" ref="M264">IF(ISBLANK(Table16[[#This Row],[Unit Price]]),AVERAGE(_xlfn._xlws.FILTER(Table16[Unit Price],NOT(ISBLANK(Table16[Unit Price])))),Table16[[#This Row],[Unit Price]])</f>
        <v>337.36</v>
      </c>
      <c r="N264" s="3">
        <v>312.60000000000002</v>
      </c>
      <c r="O264" s="11">
        <f>Table16[[#This Row],[Unit sold Filled]]*Table16[[#This Row],[Unit Price Filled]]</f>
        <v>59038</v>
      </c>
    </row>
    <row r="265" spans="1:15" x14ac:dyDescent="0.3">
      <c r="A265" s="1" t="s">
        <v>292</v>
      </c>
      <c r="B265" s="1" t="s">
        <v>22</v>
      </c>
      <c r="C265" s="3" t="str">
        <f t="shared" si="9"/>
        <v>North</v>
      </c>
      <c r="D265" s="1" t="s">
        <v>18</v>
      </c>
      <c r="E265" s="1"/>
      <c r="F265" s="3" t="str">
        <f t="shared" si="8"/>
        <v>Unknown</v>
      </c>
      <c r="G265" s="1" t="s">
        <v>14</v>
      </c>
      <c r="H265" s="1" t="s">
        <v>15</v>
      </c>
      <c r="I265" s="2">
        <v>45190</v>
      </c>
      <c r="J265" s="3">
        <v>441</v>
      </c>
      <c r="K265" s="10" cm="1">
        <f t="array" ref="K265">IF(ISBLANK(Table16[[#This Row],[Units Sold]]),AVERAGE(_xlfn._xlws.FILTER(Table16[Units Sold],NOT(ISBLANK(Table16[Units Sold])))),Table16[[#This Row],[Units Sold]])</f>
        <v>441</v>
      </c>
      <c r="L265" s="3">
        <v>405.72</v>
      </c>
      <c r="M265" s="11" cm="1">
        <f t="array" ref="M265">IF(ISBLANK(Table16[[#This Row],[Unit Price]]),AVERAGE(_xlfn._xlws.FILTER(Table16[Unit Price],NOT(ISBLANK(Table16[Unit Price])))),Table16[[#This Row],[Unit Price]])</f>
        <v>405.72</v>
      </c>
      <c r="N265" s="3">
        <v>88.45</v>
      </c>
      <c r="O265" s="11">
        <f>Table16[[#This Row],[Unit sold Filled]]*Table16[[#This Row],[Unit Price Filled]]</f>
        <v>178922.52000000002</v>
      </c>
    </row>
    <row r="266" spans="1:15" x14ac:dyDescent="0.3">
      <c r="A266" s="1" t="s">
        <v>293</v>
      </c>
      <c r="B266" s="1" t="s">
        <v>11</v>
      </c>
      <c r="C266" s="3" t="str">
        <f t="shared" si="9"/>
        <v>East</v>
      </c>
      <c r="D266" s="1" t="s">
        <v>12</v>
      </c>
      <c r="E266" s="1" t="s">
        <v>23</v>
      </c>
      <c r="F266" s="3" t="str">
        <f t="shared" si="8"/>
        <v>Clothing</v>
      </c>
      <c r="G266" s="1" t="s">
        <v>24</v>
      </c>
      <c r="H266" s="1" t="s">
        <v>28</v>
      </c>
      <c r="I266" s="2">
        <v>45191</v>
      </c>
      <c r="J266" s="3">
        <v>453</v>
      </c>
      <c r="K266" s="10" cm="1">
        <f t="array" ref="K266">IF(ISBLANK(Table16[[#This Row],[Units Sold]]),AVERAGE(_xlfn._xlws.FILTER(Table16[Units Sold],NOT(ISBLANK(Table16[Units Sold])))),Table16[[#This Row],[Units Sold]])</f>
        <v>453</v>
      </c>
      <c r="L266" s="3">
        <v>384.49</v>
      </c>
      <c r="M266" s="11" cm="1">
        <f t="array" ref="M266">IF(ISBLANK(Table16[[#This Row],[Unit Price]]),AVERAGE(_xlfn._xlws.FILTER(Table16[Unit Price],NOT(ISBLANK(Table16[Unit Price])))),Table16[[#This Row],[Unit Price]])</f>
        <v>384.49</v>
      </c>
      <c r="N266" s="3">
        <v>56.85</v>
      </c>
      <c r="O266" s="11">
        <f>Table16[[#This Row],[Unit sold Filled]]*Table16[[#This Row],[Unit Price Filled]]</f>
        <v>174173.97</v>
      </c>
    </row>
    <row r="267" spans="1:15" x14ac:dyDescent="0.3">
      <c r="A267" s="1" t="s">
        <v>294</v>
      </c>
      <c r="B267" s="1" t="s">
        <v>48</v>
      </c>
      <c r="C267" s="3" t="str">
        <f t="shared" si="9"/>
        <v>South</v>
      </c>
      <c r="D267" s="1" t="s">
        <v>26</v>
      </c>
      <c r="E267" s="1" t="s">
        <v>27</v>
      </c>
      <c r="F267" s="3" t="str">
        <f t="shared" si="8"/>
        <v>Furniture</v>
      </c>
      <c r="G267" s="1" t="s">
        <v>14</v>
      </c>
      <c r="H267" s="1" t="s">
        <v>28</v>
      </c>
      <c r="I267" s="2">
        <v>45192</v>
      </c>
      <c r="J267" s="3">
        <v>328</v>
      </c>
      <c r="K267" s="10" cm="1">
        <f t="array" ref="K267">IF(ISBLANK(Table16[[#This Row],[Units Sold]]),AVERAGE(_xlfn._xlws.FILTER(Table16[Units Sold],NOT(ISBLANK(Table16[Units Sold])))),Table16[[#This Row],[Units Sold]])</f>
        <v>328</v>
      </c>
      <c r="L267" s="3">
        <v>79.099999999999994</v>
      </c>
      <c r="M267" s="11" cm="1">
        <f t="array" ref="M267">IF(ISBLANK(Table16[[#This Row],[Unit Price]]),AVERAGE(_xlfn._xlws.FILTER(Table16[Unit Price],NOT(ISBLANK(Table16[Unit Price])))),Table16[[#This Row],[Unit Price]])</f>
        <v>79.099999999999994</v>
      </c>
      <c r="N267" s="3">
        <v>265.89</v>
      </c>
      <c r="O267" s="11">
        <f>Table16[[#This Row],[Unit sold Filled]]*Table16[[#This Row],[Unit Price Filled]]</f>
        <v>25944.799999999999</v>
      </c>
    </row>
    <row r="268" spans="1:15" x14ac:dyDescent="0.3">
      <c r="A268" s="1" t="s">
        <v>295</v>
      </c>
      <c r="B268" s="1" t="s">
        <v>17</v>
      </c>
      <c r="C268" s="3" t="str">
        <f t="shared" si="9"/>
        <v>West</v>
      </c>
      <c r="D268" s="1" t="s">
        <v>50</v>
      </c>
      <c r="E268" s="1" t="s">
        <v>42</v>
      </c>
      <c r="F268" s="3" t="str">
        <f t="shared" si="8"/>
        <v>Electronics</v>
      </c>
      <c r="G268" s="1" t="s">
        <v>24</v>
      </c>
      <c r="H268" s="1" t="s">
        <v>28</v>
      </c>
      <c r="I268" s="2">
        <v>45193</v>
      </c>
      <c r="J268" s="3">
        <v>223</v>
      </c>
      <c r="K268" s="10" cm="1">
        <f t="array" ref="K268">IF(ISBLANK(Table16[[#This Row],[Units Sold]]),AVERAGE(_xlfn._xlws.FILTER(Table16[Units Sold],NOT(ISBLANK(Table16[Units Sold])))),Table16[[#This Row],[Units Sold]])</f>
        <v>223</v>
      </c>
      <c r="L268" s="3">
        <v>214.85</v>
      </c>
      <c r="M268" s="11" cm="1">
        <f t="array" ref="M268">IF(ISBLANK(Table16[[#This Row],[Unit Price]]),AVERAGE(_xlfn._xlws.FILTER(Table16[Unit Price],NOT(ISBLANK(Table16[Unit Price])))),Table16[[#This Row],[Unit Price]])</f>
        <v>214.85</v>
      </c>
      <c r="N268" s="3">
        <v>2.75</v>
      </c>
      <c r="O268" s="11">
        <f>Table16[[#This Row],[Unit sold Filled]]*Table16[[#This Row],[Unit Price Filled]]</f>
        <v>47911.549999999996</v>
      </c>
    </row>
    <row r="269" spans="1:15" x14ac:dyDescent="0.3">
      <c r="A269" s="1" t="s">
        <v>296</v>
      </c>
      <c r="B269" s="1" t="s">
        <v>17</v>
      </c>
      <c r="C269" s="3" t="str">
        <f t="shared" si="9"/>
        <v>West</v>
      </c>
      <c r="D269" s="1" t="s">
        <v>18</v>
      </c>
      <c r="E269" s="1" t="s">
        <v>13</v>
      </c>
      <c r="F269" s="3" t="str">
        <f t="shared" si="8"/>
        <v>Beverages</v>
      </c>
      <c r="G269" s="1" t="s">
        <v>14</v>
      </c>
      <c r="H269" s="1" t="s">
        <v>28</v>
      </c>
      <c r="I269" s="2">
        <v>45194</v>
      </c>
      <c r="J269" s="3">
        <v>126</v>
      </c>
      <c r="K269" s="10" cm="1">
        <f t="array" ref="K269">IF(ISBLANK(Table16[[#This Row],[Units Sold]]),AVERAGE(_xlfn._xlws.FILTER(Table16[Units Sold],NOT(ISBLANK(Table16[Units Sold])))),Table16[[#This Row],[Units Sold]])</f>
        <v>126</v>
      </c>
      <c r="L269" s="3">
        <v>80.73</v>
      </c>
      <c r="M269" s="11" cm="1">
        <f t="array" ref="M269">IF(ISBLANK(Table16[[#This Row],[Unit Price]]),AVERAGE(_xlfn._xlws.FILTER(Table16[Unit Price],NOT(ISBLANK(Table16[Unit Price])))),Table16[[#This Row],[Unit Price]])</f>
        <v>80.73</v>
      </c>
      <c r="N269" s="3">
        <v>72.989999999999995</v>
      </c>
      <c r="O269" s="11">
        <f>Table16[[#This Row],[Unit sold Filled]]*Table16[[#This Row],[Unit Price Filled]]</f>
        <v>10171.980000000001</v>
      </c>
    </row>
    <row r="270" spans="1:15" x14ac:dyDescent="0.3">
      <c r="A270" s="1" t="s">
        <v>297</v>
      </c>
      <c r="B270" s="1" t="s">
        <v>11</v>
      </c>
      <c r="C270" s="3" t="str">
        <f t="shared" si="9"/>
        <v>East</v>
      </c>
      <c r="D270" s="1" t="s">
        <v>31</v>
      </c>
      <c r="E270" s="1" t="s">
        <v>19</v>
      </c>
      <c r="F270" s="3" t="str">
        <f t="shared" si="8"/>
        <v>Food</v>
      </c>
      <c r="G270" s="1" t="s">
        <v>14</v>
      </c>
      <c r="H270" s="1" t="s">
        <v>28</v>
      </c>
      <c r="I270" s="2">
        <v>45195</v>
      </c>
      <c r="J270" s="3">
        <v>395</v>
      </c>
      <c r="K270" s="10" cm="1">
        <f t="array" ref="K270">IF(ISBLANK(Table16[[#This Row],[Units Sold]]),AVERAGE(_xlfn._xlws.FILTER(Table16[Units Sold],NOT(ISBLANK(Table16[Units Sold])))),Table16[[#This Row],[Units Sold]])</f>
        <v>395</v>
      </c>
      <c r="L270" s="3">
        <v>121.44</v>
      </c>
      <c r="M270" s="11" cm="1">
        <f t="array" ref="M270">IF(ISBLANK(Table16[[#This Row],[Unit Price]]),AVERAGE(_xlfn._xlws.FILTER(Table16[Unit Price],NOT(ISBLANK(Table16[Unit Price])))),Table16[[#This Row],[Unit Price]])</f>
        <v>121.44</v>
      </c>
      <c r="N270" s="3">
        <v>13.57</v>
      </c>
      <c r="O270" s="11">
        <f>Table16[[#This Row],[Unit sold Filled]]*Table16[[#This Row],[Unit Price Filled]]</f>
        <v>47968.799999999996</v>
      </c>
    </row>
    <row r="271" spans="1:15" x14ac:dyDescent="0.3">
      <c r="A271" s="1" t="s">
        <v>298</v>
      </c>
      <c r="B271" s="1" t="s">
        <v>11</v>
      </c>
      <c r="C271" s="3" t="str">
        <f t="shared" si="9"/>
        <v>East</v>
      </c>
      <c r="D271" s="1" t="s">
        <v>18</v>
      </c>
      <c r="E271" s="1" t="s">
        <v>27</v>
      </c>
      <c r="F271" s="3" t="str">
        <f t="shared" si="8"/>
        <v>Furniture</v>
      </c>
      <c r="G271" s="1" t="s">
        <v>24</v>
      </c>
      <c r="H271" s="1" t="s">
        <v>15</v>
      </c>
      <c r="I271" s="2">
        <v>45196</v>
      </c>
      <c r="J271" s="3">
        <v>353</v>
      </c>
      <c r="K271" s="10" cm="1">
        <f t="array" ref="K271">IF(ISBLANK(Table16[[#This Row],[Units Sold]]),AVERAGE(_xlfn._xlws.FILTER(Table16[Units Sold],NOT(ISBLANK(Table16[Units Sold])))),Table16[[#This Row],[Units Sold]])</f>
        <v>353</v>
      </c>
      <c r="L271" s="3">
        <v>435.28</v>
      </c>
      <c r="M271" s="11" cm="1">
        <f t="array" ref="M271">IF(ISBLANK(Table16[[#This Row],[Unit Price]]),AVERAGE(_xlfn._xlws.FILTER(Table16[Unit Price],NOT(ISBLANK(Table16[Unit Price])))),Table16[[#This Row],[Unit Price]])</f>
        <v>435.28</v>
      </c>
      <c r="N271" s="3">
        <v>68.42</v>
      </c>
      <c r="O271" s="11">
        <f>Table16[[#This Row],[Unit sold Filled]]*Table16[[#This Row],[Unit Price Filled]]</f>
        <v>153653.84</v>
      </c>
    </row>
    <row r="272" spans="1:15" x14ac:dyDescent="0.3">
      <c r="A272" s="1" t="s">
        <v>299</v>
      </c>
      <c r="B272" s="1" t="s">
        <v>48</v>
      </c>
      <c r="C272" s="3" t="str">
        <f t="shared" si="9"/>
        <v>South</v>
      </c>
      <c r="D272" s="1" t="s">
        <v>31</v>
      </c>
      <c r="E272" s="1" t="s">
        <v>27</v>
      </c>
      <c r="F272" s="3" t="str">
        <f t="shared" si="8"/>
        <v>Furniture</v>
      </c>
      <c r="G272" s="1" t="s">
        <v>24</v>
      </c>
      <c r="H272" s="1" t="s">
        <v>15</v>
      </c>
      <c r="I272" s="2">
        <v>45197</v>
      </c>
      <c r="J272" s="3">
        <v>81</v>
      </c>
      <c r="K272" s="10" cm="1">
        <f t="array" ref="K272">IF(ISBLANK(Table16[[#This Row],[Units Sold]]),AVERAGE(_xlfn._xlws.FILTER(Table16[Units Sold],NOT(ISBLANK(Table16[Units Sold])))),Table16[[#This Row],[Units Sold]])</f>
        <v>81</v>
      </c>
      <c r="L272" s="3">
        <v>239.08</v>
      </c>
      <c r="M272" s="11" cm="1">
        <f t="array" ref="M272">IF(ISBLANK(Table16[[#This Row],[Unit Price]]),AVERAGE(_xlfn._xlws.FILTER(Table16[Unit Price],NOT(ISBLANK(Table16[Unit Price])))),Table16[[#This Row],[Unit Price]])</f>
        <v>239.08</v>
      </c>
      <c r="N272" s="3">
        <v>74.17</v>
      </c>
      <c r="O272" s="11">
        <f>Table16[[#This Row],[Unit sold Filled]]*Table16[[#This Row],[Unit Price Filled]]</f>
        <v>19365.48</v>
      </c>
    </row>
    <row r="273" spans="1:15" x14ac:dyDescent="0.3">
      <c r="A273" s="1" t="s">
        <v>300</v>
      </c>
      <c r="B273" s="1" t="s">
        <v>17</v>
      </c>
      <c r="C273" s="3" t="str">
        <f t="shared" si="9"/>
        <v>West</v>
      </c>
      <c r="D273" s="1" t="s">
        <v>12</v>
      </c>
      <c r="E273" s="1" t="s">
        <v>23</v>
      </c>
      <c r="F273" s="3" t="str">
        <f t="shared" si="8"/>
        <v>Clothing</v>
      </c>
      <c r="G273" s="1" t="s">
        <v>24</v>
      </c>
      <c r="H273" s="1" t="s">
        <v>15</v>
      </c>
      <c r="I273" s="2">
        <v>45198</v>
      </c>
      <c r="J273" s="3">
        <v>404</v>
      </c>
      <c r="K273" s="10" cm="1">
        <f t="array" ref="K273">IF(ISBLANK(Table16[[#This Row],[Units Sold]]),AVERAGE(_xlfn._xlws.FILTER(Table16[Units Sold],NOT(ISBLANK(Table16[Units Sold])))),Table16[[#This Row],[Units Sold]])</f>
        <v>404</v>
      </c>
      <c r="L273" s="3">
        <v>270</v>
      </c>
      <c r="M273" s="11" cm="1">
        <f t="array" ref="M273">IF(ISBLANK(Table16[[#This Row],[Unit Price]]),AVERAGE(_xlfn._xlws.FILTER(Table16[Unit Price],NOT(ISBLANK(Table16[Unit Price])))),Table16[[#This Row],[Unit Price]])</f>
        <v>270</v>
      </c>
      <c r="N273" s="3">
        <v>156.29</v>
      </c>
      <c r="O273" s="11">
        <f>Table16[[#This Row],[Unit sold Filled]]*Table16[[#This Row],[Unit Price Filled]]</f>
        <v>109080</v>
      </c>
    </row>
    <row r="274" spans="1:15" x14ac:dyDescent="0.3">
      <c r="A274" s="1" t="s">
        <v>301</v>
      </c>
      <c r="B274" s="1" t="s">
        <v>17</v>
      </c>
      <c r="C274" s="3" t="str">
        <f t="shared" si="9"/>
        <v>West</v>
      </c>
      <c r="D274" s="1" t="s">
        <v>26</v>
      </c>
      <c r="E274" s="1" t="s">
        <v>23</v>
      </c>
      <c r="F274" s="3" t="str">
        <f t="shared" si="8"/>
        <v>Clothing</v>
      </c>
      <c r="G274" s="1" t="s">
        <v>24</v>
      </c>
      <c r="H274" s="1" t="s">
        <v>15</v>
      </c>
      <c r="I274" s="2">
        <v>45199</v>
      </c>
      <c r="J274" s="3">
        <v>73</v>
      </c>
      <c r="K274" s="10" cm="1">
        <f t="array" ref="K274">IF(ISBLANK(Table16[[#This Row],[Units Sold]]),AVERAGE(_xlfn._xlws.FILTER(Table16[Units Sold],NOT(ISBLANK(Table16[Units Sold])))),Table16[[#This Row],[Units Sold]])</f>
        <v>73</v>
      </c>
      <c r="L274" s="3">
        <v>93.33</v>
      </c>
      <c r="M274" s="11" cm="1">
        <f t="array" ref="M274">IF(ISBLANK(Table16[[#This Row],[Unit Price]]),AVERAGE(_xlfn._xlws.FILTER(Table16[Unit Price],NOT(ISBLANK(Table16[Unit Price])))),Table16[[#This Row],[Unit Price]])</f>
        <v>93.33</v>
      </c>
      <c r="N274" s="3">
        <v>162.13</v>
      </c>
      <c r="O274" s="11">
        <f>Table16[[#This Row],[Unit sold Filled]]*Table16[[#This Row],[Unit Price Filled]]</f>
        <v>6813.09</v>
      </c>
    </row>
    <row r="275" spans="1:15" x14ac:dyDescent="0.3">
      <c r="A275" s="1" t="s">
        <v>302</v>
      </c>
      <c r="B275" s="1" t="s">
        <v>17</v>
      </c>
      <c r="C275" s="3" t="str">
        <f t="shared" si="9"/>
        <v>West</v>
      </c>
      <c r="D275" s="1" t="s">
        <v>18</v>
      </c>
      <c r="E275" s="1" t="s">
        <v>13</v>
      </c>
      <c r="F275" s="3" t="str">
        <f t="shared" si="8"/>
        <v>Beverages</v>
      </c>
      <c r="G275" s="1" t="s">
        <v>14</v>
      </c>
      <c r="H275" s="1" t="s">
        <v>28</v>
      </c>
      <c r="I275" s="2">
        <v>45200</v>
      </c>
      <c r="J275" s="3">
        <v>214</v>
      </c>
      <c r="K275" s="10" cm="1">
        <f t="array" ref="K275">IF(ISBLANK(Table16[[#This Row],[Units Sold]]),AVERAGE(_xlfn._xlws.FILTER(Table16[Units Sold],NOT(ISBLANK(Table16[Units Sold])))),Table16[[#This Row],[Units Sold]])</f>
        <v>214</v>
      </c>
      <c r="L275" s="3">
        <v>159.57</v>
      </c>
      <c r="M275" s="11" cm="1">
        <f t="array" ref="M275">IF(ISBLANK(Table16[[#This Row],[Unit Price]]),AVERAGE(_xlfn._xlws.FILTER(Table16[Unit Price],NOT(ISBLANK(Table16[Unit Price])))),Table16[[#This Row],[Unit Price]])</f>
        <v>159.57</v>
      </c>
      <c r="N275" s="3">
        <v>349.96</v>
      </c>
      <c r="O275" s="11">
        <f>Table16[[#This Row],[Unit sold Filled]]*Table16[[#This Row],[Unit Price Filled]]</f>
        <v>34147.979999999996</v>
      </c>
    </row>
    <row r="276" spans="1:15" x14ac:dyDescent="0.3">
      <c r="A276" s="1" t="s">
        <v>303</v>
      </c>
      <c r="B276" s="1" t="s">
        <v>22</v>
      </c>
      <c r="C276" s="3" t="str">
        <f t="shared" si="9"/>
        <v>North</v>
      </c>
      <c r="D276" s="1" t="s">
        <v>50</v>
      </c>
      <c r="E276" s="1" t="s">
        <v>13</v>
      </c>
      <c r="F276" s="3" t="str">
        <f t="shared" si="8"/>
        <v>Beverages</v>
      </c>
      <c r="G276" s="1" t="s">
        <v>24</v>
      </c>
      <c r="H276" s="1" t="s">
        <v>20</v>
      </c>
      <c r="I276" s="2">
        <v>45201</v>
      </c>
      <c r="J276" s="3">
        <v>218</v>
      </c>
      <c r="K276" s="10" cm="1">
        <f t="array" ref="K276">IF(ISBLANK(Table16[[#This Row],[Units Sold]]),AVERAGE(_xlfn._xlws.FILTER(Table16[Units Sold],NOT(ISBLANK(Table16[Units Sold])))),Table16[[#This Row],[Units Sold]])</f>
        <v>218</v>
      </c>
      <c r="L276" s="3">
        <v>118.97</v>
      </c>
      <c r="M276" s="11" cm="1">
        <f t="array" ref="M276">IF(ISBLANK(Table16[[#This Row],[Unit Price]]),AVERAGE(_xlfn._xlws.FILTER(Table16[Unit Price],NOT(ISBLANK(Table16[Unit Price])))),Table16[[#This Row],[Unit Price]])</f>
        <v>118.97</v>
      </c>
      <c r="N276" s="3">
        <v>205.02</v>
      </c>
      <c r="O276" s="11">
        <f>Table16[[#This Row],[Unit sold Filled]]*Table16[[#This Row],[Unit Price Filled]]</f>
        <v>25935.46</v>
      </c>
    </row>
    <row r="277" spans="1:15" x14ac:dyDescent="0.3">
      <c r="A277" s="1" t="s">
        <v>304</v>
      </c>
      <c r="B277" s="1" t="s">
        <v>17</v>
      </c>
      <c r="C277" s="3" t="str">
        <f t="shared" si="9"/>
        <v>West</v>
      </c>
      <c r="D277" s="1" t="s">
        <v>12</v>
      </c>
      <c r="E277" s="1" t="s">
        <v>42</v>
      </c>
      <c r="F277" s="3" t="str">
        <f t="shared" si="8"/>
        <v>Electronics</v>
      </c>
      <c r="G277" s="1" t="s">
        <v>24</v>
      </c>
      <c r="H277" s="1" t="s">
        <v>15</v>
      </c>
      <c r="I277" s="2">
        <v>45202</v>
      </c>
      <c r="J277" s="3">
        <v>81</v>
      </c>
      <c r="K277" s="10" cm="1">
        <f t="array" ref="K277">IF(ISBLANK(Table16[[#This Row],[Units Sold]]),AVERAGE(_xlfn._xlws.FILTER(Table16[Units Sold],NOT(ISBLANK(Table16[Units Sold])))),Table16[[#This Row],[Units Sold]])</f>
        <v>81</v>
      </c>
      <c r="L277" s="3">
        <v>107.06</v>
      </c>
      <c r="M277" s="11" cm="1">
        <f t="array" ref="M277">IF(ISBLANK(Table16[[#This Row],[Unit Price]]),AVERAGE(_xlfn._xlws.FILTER(Table16[Unit Price],NOT(ISBLANK(Table16[Unit Price])))),Table16[[#This Row],[Unit Price]])</f>
        <v>107.06</v>
      </c>
      <c r="N277" s="3">
        <v>289.92</v>
      </c>
      <c r="O277" s="11">
        <f>Table16[[#This Row],[Unit sold Filled]]*Table16[[#This Row],[Unit Price Filled]]</f>
        <v>8671.86</v>
      </c>
    </row>
    <row r="278" spans="1:15" x14ac:dyDescent="0.3">
      <c r="A278" s="1" t="s">
        <v>305</v>
      </c>
      <c r="B278" s="1" t="s">
        <v>22</v>
      </c>
      <c r="C278" s="3" t="str">
        <f t="shared" si="9"/>
        <v>North</v>
      </c>
      <c r="D278" s="1" t="s">
        <v>18</v>
      </c>
      <c r="E278" s="1" t="s">
        <v>42</v>
      </c>
      <c r="F278" s="3" t="str">
        <f t="shared" si="8"/>
        <v>Electronics</v>
      </c>
      <c r="G278" s="1" t="s">
        <v>24</v>
      </c>
      <c r="H278" s="1" t="s">
        <v>20</v>
      </c>
      <c r="I278" s="2">
        <v>45203</v>
      </c>
      <c r="J278" s="3">
        <v>286</v>
      </c>
      <c r="K278" s="10" cm="1">
        <f t="array" ref="K278">IF(ISBLANK(Table16[[#This Row],[Units Sold]]),AVERAGE(_xlfn._xlws.FILTER(Table16[Units Sold],NOT(ISBLANK(Table16[Units Sold])))),Table16[[#This Row],[Units Sold]])</f>
        <v>286</v>
      </c>
      <c r="L278" s="3">
        <v>320.79000000000002</v>
      </c>
      <c r="M278" s="11" cm="1">
        <f t="array" ref="M278">IF(ISBLANK(Table16[[#This Row],[Unit Price]]),AVERAGE(_xlfn._xlws.FILTER(Table16[Unit Price],NOT(ISBLANK(Table16[Unit Price])))),Table16[[#This Row],[Unit Price]])</f>
        <v>320.79000000000002</v>
      </c>
      <c r="N278" s="3">
        <v>43.45</v>
      </c>
      <c r="O278" s="11">
        <f>Table16[[#This Row],[Unit sold Filled]]*Table16[[#This Row],[Unit Price Filled]]</f>
        <v>91745.94</v>
      </c>
    </row>
    <row r="279" spans="1:15" x14ac:dyDescent="0.3">
      <c r="A279" s="1" t="s">
        <v>306</v>
      </c>
      <c r="B279" s="1" t="s">
        <v>48</v>
      </c>
      <c r="C279" s="3" t="str">
        <f t="shared" si="9"/>
        <v>South</v>
      </c>
      <c r="D279" s="1" t="s">
        <v>50</v>
      </c>
      <c r="E279" s="1" t="s">
        <v>13</v>
      </c>
      <c r="F279" s="3" t="str">
        <f t="shared" si="8"/>
        <v>Beverages</v>
      </c>
      <c r="G279" s="1" t="s">
        <v>14</v>
      </c>
      <c r="H279" s="1" t="s">
        <v>15</v>
      </c>
      <c r="I279" s="2">
        <v>45204</v>
      </c>
      <c r="J279" s="3">
        <v>283</v>
      </c>
      <c r="K279" s="10" cm="1">
        <f t="array" ref="K279">IF(ISBLANK(Table16[[#This Row],[Units Sold]]),AVERAGE(_xlfn._xlws.FILTER(Table16[Units Sold],NOT(ISBLANK(Table16[Units Sold])))),Table16[[#This Row],[Units Sold]])</f>
        <v>283</v>
      </c>
      <c r="L279" s="3">
        <v>132.16</v>
      </c>
      <c r="M279" s="11" cm="1">
        <f t="array" ref="M279">IF(ISBLANK(Table16[[#This Row],[Unit Price]]),AVERAGE(_xlfn._xlws.FILTER(Table16[Unit Price],NOT(ISBLANK(Table16[Unit Price])))),Table16[[#This Row],[Unit Price]])</f>
        <v>132.16</v>
      </c>
      <c r="N279" s="3">
        <v>91.72</v>
      </c>
      <c r="O279" s="11">
        <f>Table16[[#This Row],[Unit sold Filled]]*Table16[[#This Row],[Unit Price Filled]]</f>
        <v>37401.279999999999</v>
      </c>
    </row>
    <row r="280" spans="1:15" x14ac:dyDescent="0.3">
      <c r="A280" s="1" t="s">
        <v>307</v>
      </c>
      <c r="B280" s="1" t="s">
        <v>22</v>
      </c>
      <c r="C280" s="3" t="str">
        <f t="shared" si="9"/>
        <v>North</v>
      </c>
      <c r="D280" s="1" t="s">
        <v>18</v>
      </c>
      <c r="E280" s="1" t="s">
        <v>13</v>
      </c>
      <c r="F280" s="3" t="str">
        <f t="shared" si="8"/>
        <v>Beverages</v>
      </c>
      <c r="G280" s="1" t="s">
        <v>14</v>
      </c>
      <c r="H280" s="1" t="s">
        <v>15</v>
      </c>
      <c r="I280" s="2">
        <v>45205</v>
      </c>
      <c r="J280" s="3">
        <v>487</v>
      </c>
      <c r="K280" s="10" cm="1">
        <f t="array" ref="K280">IF(ISBLANK(Table16[[#This Row],[Units Sold]]),AVERAGE(_xlfn._xlws.FILTER(Table16[Units Sold],NOT(ISBLANK(Table16[Units Sold])))),Table16[[#This Row],[Units Sold]])</f>
        <v>487</v>
      </c>
      <c r="L280" s="3">
        <v>317.85000000000002</v>
      </c>
      <c r="M280" s="11" cm="1">
        <f t="array" ref="M280">IF(ISBLANK(Table16[[#This Row],[Unit Price]]),AVERAGE(_xlfn._xlws.FILTER(Table16[Unit Price],NOT(ISBLANK(Table16[Unit Price])))),Table16[[#This Row],[Unit Price]])</f>
        <v>317.85000000000002</v>
      </c>
      <c r="N280" s="3">
        <v>281.77</v>
      </c>
      <c r="O280" s="11">
        <f>Table16[[#This Row],[Unit sold Filled]]*Table16[[#This Row],[Unit Price Filled]]</f>
        <v>154792.95000000001</v>
      </c>
    </row>
    <row r="281" spans="1:15" x14ac:dyDescent="0.3">
      <c r="A281" s="1" t="s">
        <v>308</v>
      </c>
      <c r="B281" s="1" t="s">
        <v>48</v>
      </c>
      <c r="C281" s="3" t="str">
        <f t="shared" si="9"/>
        <v>South</v>
      </c>
      <c r="D281" s="1" t="s">
        <v>31</v>
      </c>
      <c r="E281" s="1" t="s">
        <v>19</v>
      </c>
      <c r="F281" s="3" t="str">
        <f t="shared" si="8"/>
        <v>Food</v>
      </c>
      <c r="G281" s="1" t="s">
        <v>24</v>
      </c>
      <c r="H281" s="1" t="s">
        <v>20</v>
      </c>
      <c r="I281" s="2">
        <v>45206</v>
      </c>
      <c r="J281" s="3">
        <v>329</v>
      </c>
      <c r="K281" s="10" cm="1">
        <f t="array" ref="K281">IF(ISBLANK(Table16[[#This Row],[Units Sold]]),AVERAGE(_xlfn._xlws.FILTER(Table16[Units Sold],NOT(ISBLANK(Table16[Units Sold])))),Table16[[#This Row],[Units Sold]])</f>
        <v>329</v>
      </c>
      <c r="L281" s="3">
        <v>33.94</v>
      </c>
      <c r="M281" s="11" cm="1">
        <f t="array" ref="M281">IF(ISBLANK(Table16[[#This Row],[Unit Price]]),AVERAGE(_xlfn._xlws.FILTER(Table16[Unit Price],NOT(ISBLANK(Table16[Unit Price])))),Table16[[#This Row],[Unit Price]])</f>
        <v>33.94</v>
      </c>
      <c r="N281" s="3">
        <v>23.02</v>
      </c>
      <c r="O281" s="11">
        <f>Table16[[#This Row],[Unit sold Filled]]*Table16[[#This Row],[Unit Price Filled]]</f>
        <v>11166.259999999998</v>
      </c>
    </row>
    <row r="282" spans="1:15" x14ac:dyDescent="0.3">
      <c r="A282" s="1" t="s">
        <v>309</v>
      </c>
      <c r="B282" s="1" t="s">
        <v>17</v>
      </c>
      <c r="C282" s="3" t="str">
        <f t="shared" si="9"/>
        <v>West</v>
      </c>
      <c r="D282" s="1" t="s">
        <v>18</v>
      </c>
      <c r="E282" s="1" t="s">
        <v>23</v>
      </c>
      <c r="F282" s="3" t="str">
        <f t="shared" si="8"/>
        <v>Clothing</v>
      </c>
      <c r="G282" s="1" t="s">
        <v>14</v>
      </c>
      <c r="H282" s="1" t="s">
        <v>28</v>
      </c>
      <c r="I282" s="2">
        <v>45207</v>
      </c>
      <c r="J282" s="3">
        <v>347</v>
      </c>
      <c r="K282" s="10" cm="1">
        <f t="array" ref="K282">IF(ISBLANK(Table16[[#This Row],[Units Sold]]),AVERAGE(_xlfn._xlws.FILTER(Table16[Units Sold],NOT(ISBLANK(Table16[Units Sold])))),Table16[[#This Row],[Units Sold]])</f>
        <v>347</v>
      </c>
      <c r="L282" s="3">
        <v>75.180000000000007</v>
      </c>
      <c r="M282" s="11" cm="1">
        <f t="array" ref="M282">IF(ISBLANK(Table16[[#This Row],[Unit Price]]),AVERAGE(_xlfn._xlws.FILTER(Table16[Unit Price],NOT(ISBLANK(Table16[Unit Price])))),Table16[[#This Row],[Unit Price]])</f>
        <v>75.180000000000007</v>
      </c>
      <c r="N282" s="3">
        <v>195.67</v>
      </c>
      <c r="O282" s="11">
        <f>Table16[[#This Row],[Unit sold Filled]]*Table16[[#This Row],[Unit Price Filled]]</f>
        <v>26087.460000000003</v>
      </c>
    </row>
    <row r="283" spans="1:15" x14ac:dyDescent="0.3">
      <c r="A283" s="1" t="s">
        <v>310</v>
      </c>
      <c r="B283" s="1" t="s">
        <v>17</v>
      </c>
      <c r="C283" s="3" t="str">
        <f t="shared" si="9"/>
        <v>West</v>
      </c>
      <c r="D283" s="1" t="s">
        <v>18</v>
      </c>
      <c r="E283" s="1" t="s">
        <v>42</v>
      </c>
      <c r="F283" s="3" t="str">
        <f t="shared" si="8"/>
        <v>Electronics</v>
      </c>
      <c r="G283" s="1" t="s">
        <v>24</v>
      </c>
      <c r="H283" s="1" t="s">
        <v>15</v>
      </c>
      <c r="I283" s="2">
        <v>45208</v>
      </c>
      <c r="J283" s="3">
        <v>375</v>
      </c>
      <c r="K283" s="10" cm="1">
        <f t="array" ref="K283">IF(ISBLANK(Table16[[#This Row],[Units Sold]]),AVERAGE(_xlfn._xlws.FILTER(Table16[Units Sold],NOT(ISBLANK(Table16[Units Sold])))),Table16[[#This Row],[Units Sold]])</f>
        <v>375</v>
      </c>
      <c r="L283" s="3">
        <v>140.9</v>
      </c>
      <c r="M283" s="11" cm="1">
        <f t="array" ref="M283">IF(ISBLANK(Table16[[#This Row],[Unit Price]]),AVERAGE(_xlfn._xlws.FILTER(Table16[Unit Price],NOT(ISBLANK(Table16[Unit Price])))),Table16[[#This Row],[Unit Price]])</f>
        <v>140.9</v>
      </c>
      <c r="N283" s="3">
        <v>240.55</v>
      </c>
      <c r="O283" s="11">
        <f>Table16[[#This Row],[Unit sold Filled]]*Table16[[#This Row],[Unit Price Filled]]</f>
        <v>52837.5</v>
      </c>
    </row>
    <row r="284" spans="1:15" x14ac:dyDescent="0.3">
      <c r="A284" s="1" t="s">
        <v>311</v>
      </c>
      <c r="B284" s="1" t="s">
        <v>48</v>
      </c>
      <c r="C284" s="3" t="str">
        <f t="shared" si="9"/>
        <v>South</v>
      </c>
      <c r="D284" s="1" t="s">
        <v>18</v>
      </c>
      <c r="E284" s="1" t="s">
        <v>23</v>
      </c>
      <c r="F284" s="3" t="str">
        <f t="shared" si="8"/>
        <v>Clothing</v>
      </c>
      <c r="G284" s="1" t="s">
        <v>14</v>
      </c>
      <c r="H284" s="1" t="s">
        <v>15</v>
      </c>
      <c r="I284" s="2">
        <v>45209</v>
      </c>
      <c r="J284" s="3">
        <v>104</v>
      </c>
      <c r="K284" s="10" cm="1">
        <f t="array" ref="K284">IF(ISBLANK(Table16[[#This Row],[Units Sold]]),AVERAGE(_xlfn._xlws.FILTER(Table16[Units Sold],NOT(ISBLANK(Table16[Units Sold])))),Table16[[#This Row],[Units Sold]])</f>
        <v>104</v>
      </c>
      <c r="L284" s="3">
        <v>300.54000000000002</v>
      </c>
      <c r="M284" s="11" cm="1">
        <f t="array" ref="M284">IF(ISBLANK(Table16[[#This Row],[Unit Price]]),AVERAGE(_xlfn._xlws.FILTER(Table16[Unit Price],NOT(ISBLANK(Table16[Unit Price])))),Table16[[#This Row],[Unit Price]])</f>
        <v>300.54000000000002</v>
      </c>
      <c r="N284" s="3">
        <v>241.65</v>
      </c>
      <c r="O284" s="11">
        <f>Table16[[#This Row],[Unit sold Filled]]*Table16[[#This Row],[Unit Price Filled]]</f>
        <v>31256.160000000003</v>
      </c>
    </row>
    <row r="285" spans="1:15" x14ac:dyDescent="0.3">
      <c r="A285" s="1" t="s">
        <v>312</v>
      </c>
      <c r="B285" s="1" t="s">
        <v>11</v>
      </c>
      <c r="C285" s="3" t="str">
        <f t="shared" si="9"/>
        <v>East</v>
      </c>
      <c r="D285" s="1" t="s">
        <v>12</v>
      </c>
      <c r="E285" s="1"/>
      <c r="F285" s="3" t="str">
        <f t="shared" si="8"/>
        <v>Unknown</v>
      </c>
      <c r="G285" s="1" t="s">
        <v>14</v>
      </c>
      <c r="H285" s="1" t="s">
        <v>15</v>
      </c>
      <c r="I285" s="2">
        <v>45210</v>
      </c>
      <c r="J285" s="3">
        <v>175</v>
      </c>
      <c r="K285" s="10" cm="1">
        <f t="array" ref="K285">IF(ISBLANK(Table16[[#This Row],[Units Sold]]),AVERAGE(_xlfn._xlws.FILTER(Table16[Units Sold],NOT(ISBLANK(Table16[Units Sold])))),Table16[[#This Row],[Units Sold]])</f>
        <v>175</v>
      </c>
      <c r="L285" s="3">
        <v>339.54</v>
      </c>
      <c r="M285" s="11" cm="1">
        <f t="array" ref="M285">IF(ISBLANK(Table16[[#This Row],[Unit Price]]),AVERAGE(_xlfn._xlws.FILTER(Table16[Unit Price],NOT(ISBLANK(Table16[Unit Price])))),Table16[[#This Row],[Unit Price]])</f>
        <v>339.54</v>
      </c>
      <c r="N285" s="3">
        <v>11.13</v>
      </c>
      <c r="O285" s="11">
        <f>Table16[[#This Row],[Unit sold Filled]]*Table16[[#This Row],[Unit Price Filled]]</f>
        <v>59419.5</v>
      </c>
    </row>
    <row r="286" spans="1:15" x14ac:dyDescent="0.3">
      <c r="A286" s="1" t="s">
        <v>313</v>
      </c>
      <c r="B286" s="1" t="s">
        <v>48</v>
      </c>
      <c r="C286" s="3" t="str">
        <f t="shared" si="9"/>
        <v>South</v>
      </c>
      <c r="D286" s="1" t="s">
        <v>18</v>
      </c>
      <c r="E286" s="1" t="s">
        <v>13</v>
      </c>
      <c r="F286" s="3" t="str">
        <f t="shared" si="8"/>
        <v>Beverages</v>
      </c>
      <c r="G286" s="1" t="s">
        <v>14</v>
      </c>
      <c r="H286" s="1" t="s">
        <v>20</v>
      </c>
      <c r="I286" s="2">
        <v>45211</v>
      </c>
      <c r="J286" s="3">
        <v>41</v>
      </c>
      <c r="K286" s="10" cm="1">
        <f t="array" ref="K286">IF(ISBLANK(Table16[[#This Row],[Units Sold]]),AVERAGE(_xlfn._xlws.FILTER(Table16[Units Sold],NOT(ISBLANK(Table16[Units Sold])))),Table16[[#This Row],[Units Sold]])</f>
        <v>41</v>
      </c>
      <c r="L286" s="3">
        <v>224.14</v>
      </c>
      <c r="M286" s="11" cm="1">
        <f t="array" ref="M286">IF(ISBLANK(Table16[[#This Row],[Unit Price]]),AVERAGE(_xlfn._xlws.FILTER(Table16[Unit Price],NOT(ISBLANK(Table16[Unit Price])))),Table16[[#This Row],[Unit Price]])</f>
        <v>224.14</v>
      </c>
      <c r="N286" s="3">
        <v>130.19999999999999</v>
      </c>
      <c r="O286" s="11">
        <f>Table16[[#This Row],[Unit sold Filled]]*Table16[[#This Row],[Unit Price Filled]]</f>
        <v>9189.74</v>
      </c>
    </row>
    <row r="287" spans="1:15" x14ac:dyDescent="0.3">
      <c r="A287" s="1" t="s">
        <v>314</v>
      </c>
      <c r="B287" s="1" t="s">
        <v>11</v>
      </c>
      <c r="C287" s="3" t="str">
        <f t="shared" si="9"/>
        <v>East</v>
      </c>
      <c r="D287" s="1" t="s">
        <v>50</v>
      </c>
      <c r="E287" s="1" t="s">
        <v>19</v>
      </c>
      <c r="F287" s="3" t="str">
        <f t="shared" si="8"/>
        <v>Food</v>
      </c>
      <c r="G287" s="1" t="s">
        <v>14</v>
      </c>
      <c r="H287" s="1" t="s">
        <v>28</v>
      </c>
      <c r="I287" s="2">
        <v>45212</v>
      </c>
      <c r="J287" s="3">
        <v>20</v>
      </c>
      <c r="K287" s="10" cm="1">
        <f t="array" ref="K287">IF(ISBLANK(Table16[[#This Row],[Units Sold]]),AVERAGE(_xlfn._xlws.FILTER(Table16[Units Sold],NOT(ISBLANK(Table16[Units Sold])))),Table16[[#This Row],[Units Sold]])</f>
        <v>20</v>
      </c>
      <c r="L287" s="3">
        <v>225.67</v>
      </c>
      <c r="M287" s="11" cm="1">
        <f t="array" ref="M287">IF(ISBLANK(Table16[[#This Row],[Unit Price]]),AVERAGE(_xlfn._xlws.FILTER(Table16[Unit Price],NOT(ISBLANK(Table16[Unit Price])))),Table16[[#This Row],[Unit Price]])</f>
        <v>225.67</v>
      </c>
      <c r="N287" s="3">
        <v>255.32</v>
      </c>
      <c r="O287" s="11">
        <f>Table16[[#This Row],[Unit sold Filled]]*Table16[[#This Row],[Unit Price Filled]]</f>
        <v>4513.3999999999996</v>
      </c>
    </row>
    <row r="288" spans="1:15" x14ac:dyDescent="0.3">
      <c r="A288" s="1" t="s">
        <v>315</v>
      </c>
      <c r="B288" s="1" t="s">
        <v>22</v>
      </c>
      <c r="C288" s="3" t="str">
        <f t="shared" si="9"/>
        <v>North</v>
      </c>
      <c r="D288" s="1" t="s">
        <v>31</v>
      </c>
      <c r="E288" s="1" t="s">
        <v>27</v>
      </c>
      <c r="F288" s="3" t="str">
        <f t="shared" si="8"/>
        <v>Furniture</v>
      </c>
      <c r="G288" s="1" t="s">
        <v>24</v>
      </c>
      <c r="H288" s="1" t="s">
        <v>20</v>
      </c>
      <c r="I288" s="2">
        <v>45213</v>
      </c>
      <c r="J288" s="3">
        <v>310</v>
      </c>
      <c r="K288" s="10" cm="1">
        <f t="array" ref="K288">IF(ISBLANK(Table16[[#This Row],[Units Sold]]),AVERAGE(_xlfn._xlws.FILTER(Table16[Units Sold],NOT(ISBLANK(Table16[Units Sold])))),Table16[[#This Row],[Units Sold]])</f>
        <v>310</v>
      </c>
      <c r="L288" s="3">
        <v>363.64</v>
      </c>
      <c r="M288" s="11" cm="1">
        <f t="array" ref="M288">IF(ISBLANK(Table16[[#This Row],[Unit Price]]),AVERAGE(_xlfn._xlws.FILTER(Table16[Unit Price],NOT(ISBLANK(Table16[Unit Price])))),Table16[[#This Row],[Unit Price]])</f>
        <v>363.64</v>
      </c>
      <c r="N288" s="3">
        <v>61.3</v>
      </c>
      <c r="O288" s="11">
        <f>Table16[[#This Row],[Unit sold Filled]]*Table16[[#This Row],[Unit Price Filled]]</f>
        <v>112728.4</v>
      </c>
    </row>
    <row r="289" spans="1:15" x14ac:dyDescent="0.3">
      <c r="A289" s="1" t="s">
        <v>316</v>
      </c>
      <c r="B289" s="1" t="s">
        <v>22</v>
      </c>
      <c r="C289" s="3" t="str">
        <f t="shared" si="9"/>
        <v>North</v>
      </c>
      <c r="D289" s="1" t="s">
        <v>31</v>
      </c>
      <c r="E289" s="1" t="s">
        <v>19</v>
      </c>
      <c r="F289" s="3" t="str">
        <f t="shared" si="8"/>
        <v>Food</v>
      </c>
      <c r="G289" s="1" t="s">
        <v>24</v>
      </c>
      <c r="H289" s="1" t="s">
        <v>20</v>
      </c>
      <c r="I289" s="2">
        <v>45214</v>
      </c>
      <c r="J289" s="3">
        <v>226</v>
      </c>
      <c r="K289" s="10" cm="1">
        <f t="array" ref="K289">IF(ISBLANK(Table16[[#This Row],[Units Sold]]),AVERAGE(_xlfn._xlws.FILTER(Table16[Units Sold],NOT(ISBLANK(Table16[Units Sold])))),Table16[[#This Row],[Units Sold]])</f>
        <v>226</v>
      </c>
      <c r="L289" s="1"/>
      <c r="M289" s="11" cm="1">
        <f t="array" ref="M289">IF(ISBLANK(Table16[[#This Row],[Unit Price]]),AVERAGE(_xlfn._xlws.FILTER(Table16[Unit Price],NOT(ISBLANK(Table16[Unit Price])))),Table16[[#This Row],[Unit Price]])</f>
        <v>249.64520588235297</v>
      </c>
      <c r="N289" s="3">
        <v>278.77999999999997</v>
      </c>
      <c r="O289" s="11">
        <f>Table16[[#This Row],[Unit sold Filled]]*Table16[[#This Row],[Unit Price Filled]]</f>
        <v>56419.816529411772</v>
      </c>
    </row>
    <row r="290" spans="1:15" x14ac:dyDescent="0.3">
      <c r="A290" s="1" t="s">
        <v>317</v>
      </c>
      <c r="B290" s="1" t="s">
        <v>22</v>
      </c>
      <c r="C290" s="3" t="str">
        <f t="shared" si="9"/>
        <v>North</v>
      </c>
      <c r="D290" s="1" t="s">
        <v>18</v>
      </c>
      <c r="E290" s="1" t="s">
        <v>19</v>
      </c>
      <c r="F290" s="3" t="str">
        <f t="shared" si="8"/>
        <v>Food</v>
      </c>
      <c r="G290" s="1" t="s">
        <v>24</v>
      </c>
      <c r="H290" s="1" t="s">
        <v>28</v>
      </c>
      <c r="I290" s="2">
        <v>45215</v>
      </c>
      <c r="J290" s="1"/>
      <c r="K290" s="10" cm="1">
        <f t="array" ref="K290">IF(ISBLANK(Table16[[#This Row],[Units Sold]]),AVERAGE(_xlfn._xlws.FILTER(Table16[Units Sold],NOT(ISBLANK(Table16[Units Sold])))),Table16[[#This Row],[Units Sold]])</f>
        <v>255.90294117647059</v>
      </c>
      <c r="L290" s="3">
        <v>173.84</v>
      </c>
      <c r="M290" s="11" cm="1">
        <f t="array" ref="M290">IF(ISBLANK(Table16[[#This Row],[Unit Price]]),AVERAGE(_xlfn._xlws.FILTER(Table16[Unit Price],NOT(ISBLANK(Table16[Unit Price])))),Table16[[#This Row],[Unit Price]])</f>
        <v>173.84</v>
      </c>
      <c r="N290" s="3">
        <v>298.88</v>
      </c>
      <c r="O290" s="11">
        <f>Table16[[#This Row],[Unit sold Filled]]*Table16[[#This Row],[Unit Price Filled]]</f>
        <v>44486.167294117651</v>
      </c>
    </row>
    <row r="291" spans="1:15" x14ac:dyDescent="0.3">
      <c r="A291" s="1" t="s">
        <v>318</v>
      </c>
      <c r="B291" s="1" t="s">
        <v>17</v>
      </c>
      <c r="C291" s="3" t="str">
        <f t="shared" si="9"/>
        <v>West</v>
      </c>
      <c r="D291" s="1" t="s">
        <v>12</v>
      </c>
      <c r="E291" s="1" t="s">
        <v>23</v>
      </c>
      <c r="F291" s="3" t="str">
        <f t="shared" si="8"/>
        <v>Clothing</v>
      </c>
      <c r="G291" s="1" t="s">
        <v>14</v>
      </c>
      <c r="H291" s="1" t="s">
        <v>20</v>
      </c>
      <c r="I291" s="2">
        <v>45216</v>
      </c>
      <c r="J291" s="3">
        <v>111</v>
      </c>
      <c r="K291" s="10" cm="1">
        <f t="array" ref="K291">IF(ISBLANK(Table16[[#This Row],[Units Sold]]),AVERAGE(_xlfn._xlws.FILTER(Table16[Units Sold],NOT(ISBLANK(Table16[Units Sold])))),Table16[[#This Row],[Units Sold]])</f>
        <v>111</v>
      </c>
      <c r="L291" s="3">
        <v>410.26</v>
      </c>
      <c r="M291" s="11" cm="1">
        <f t="array" ref="M291">IF(ISBLANK(Table16[[#This Row],[Unit Price]]),AVERAGE(_xlfn._xlws.FILTER(Table16[Unit Price],NOT(ISBLANK(Table16[Unit Price])))),Table16[[#This Row],[Unit Price]])</f>
        <v>410.26</v>
      </c>
      <c r="N291" s="3">
        <v>392.82</v>
      </c>
      <c r="O291" s="11">
        <f>Table16[[#This Row],[Unit sold Filled]]*Table16[[#This Row],[Unit Price Filled]]</f>
        <v>45538.86</v>
      </c>
    </row>
    <row r="292" spans="1:15" x14ac:dyDescent="0.3">
      <c r="A292" s="1" t="s">
        <v>319</v>
      </c>
      <c r="B292" s="1" t="s">
        <v>22</v>
      </c>
      <c r="C292" s="3" t="str">
        <f t="shared" si="9"/>
        <v>North</v>
      </c>
      <c r="D292" s="1" t="s">
        <v>12</v>
      </c>
      <c r="E292" s="1" t="s">
        <v>19</v>
      </c>
      <c r="F292" s="3" t="str">
        <f t="shared" si="8"/>
        <v>Food</v>
      </c>
      <c r="G292" s="1" t="s">
        <v>24</v>
      </c>
      <c r="H292" s="1" t="s">
        <v>28</v>
      </c>
      <c r="I292" s="2">
        <v>45217</v>
      </c>
      <c r="J292" s="3">
        <v>434</v>
      </c>
      <c r="K292" s="10" cm="1">
        <f t="array" ref="K292">IF(ISBLANK(Table16[[#This Row],[Units Sold]]),AVERAGE(_xlfn._xlws.FILTER(Table16[Units Sold],NOT(ISBLANK(Table16[Units Sold])))),Table16[[#This Row],[Units Sold]])</f>
        <v>434</v>
      </c>
      <c r="L292" s="3">
        <v>303.58999999999997</v>
      </c>
      <c r="M292" s="11" cm="1">
        <f t="array" ref="M292">IF(ISBLANK(Table16[[#This Row],[Unit Price]]),AVERAGE(_xlfn._xlws.FILTER(Table16[Unit Price],NOT(ISBLANK(Table16[Unit Price])))),Table16[[#This Row],[Unit Price]])</f>
        <v>303.58999999999997</v>
      </c>
      <c r="N292" s="3">
        <v>85.52</v>
      </c>
      <c r="O292" s="11">
        <f>Table16[[#This Row],[Unit sold Filled]]*Table16[[#This Row],[Unit Price Filled]]</f>
        <v>131758.06</v>
      </c>
    </row>
    <row r="293" spans="1:15" x14ac:dyDescent="0.3">
      <c r="A293" s="1" t="s">
        <v>320</v>
      </c>
      <c r="B293" s="1" t="s">
        <v>11</v>
      </c>
      <c r="C293" s="3" t="str">
        <f t="shared" si="9"/>
        <v>East</v>
      </c>
      <c r="D293" s="1" t="s">
        <v>50</v>
      </c>
      <c r="E293" s="1" t="s">
        <v>42</v>
      </c>
      <c r="F293" s="3" t="str">
        <f t="shared" si="8"/>
        <v>Electronics</v>
      </c>
      <c r="G293" s="1" t="s">
        <v>24</v>
      </c>
      <c r="H293" s="1" t="s">
        <v>15</v>
      </c>
      <c r="I293" s="2">
        <v>45218</v>
      </c>
      <c r="J293" s="3">
        <v>401</v>
      </c>
      <c r="K293" s="10" cm="1">
        <f t="array" ref="K293">IF(ISBLANK(Table16[[#This Row],[Units Sold]]),AVERAGE(_xlfn._xlws.FILTER(Table16[Units Sold],NOT(ISBLANK(Table16[Units Sold])))),Table16[[#This Row],[Units Sold]])</f>
        <v>401</v>
      </c>
      <c r="L293" s="3">
        <v>171.93</v>
      </c>
      <c r="M293" s="11" cm="1">
        <f t="array" ref="M293">IF(ISBLANK(Table16[[#This Row],[Unit Price]]),AVERAGE(_xlfn._xlws.FILTER(Table16[Unit Price],NOT(ISBLANK(Table16[Unit Price])))),Table16[[#This Row],[Unit Price]])</f>
        <v>171.93</v>
      </c>
      <c r="N293" s="3">
        <v>330.4</v>
      </c>
      <c r="O293" s="11">
        <f>Table16[[#This Row],[Unit sold Filled]]*Table16[[#This Row],[Unit Price Filled]]</f>
        <v>68943.930000000008</v>
      </c>
    </row>
    <row r="294" spans="1:15" x14ac:dyDescent="0.3">
      <c r="A294" s="1" t="s">
        <v>321</v>
      </c>
      <c r="B294" s="1" t="s">
        <v>22</v>
      </c>
      <c r="C294" s="3" t="str">
        <f t="shared" si="9"/>
        <v>North</v>
      </c>
      <c r="D294" s="1" t="s">
        <v>18</v>
      </c>
      <c r="E294" s="1" t="s">
        <v>23</v>
      </c>
      <c r="F294" s="3" t="str">
        <f t="shared" si="8"/>
        <v>Clothing</v>
      </c>
      <c r="G294" s="1" t="s">
        <v>24</v>
      </c>
      <c r="H294" s="1" t="s">
        <v>28</v>
      </c>
      <c r="I294" s="2">
        <v>45219</v>
      </c>
      <c r="J294" s="3">
        <v>276</v>
      </c>
      <c r="K294" s="10" cm="1">
        <f t="array" ref="K294">IF(ISBLANK(Table16[[#This Row],[Units Sold]]),AVERAGE(_xlfn._xlws.FILTER(Table16[Units Sold],NOT(ISBLANK(Table16[Units Sold])))),Table16[[#This Row],[Units Sold]])</f>
        <v>276</v>
      </c>
      <c r="L294" s="3">
        <v>453.23</v>
      </c>
      <c r="M294" s="11" cm="1">
        <f t="array" ref="M294">IF(ISBLANK(Table16[[#This Row],[Unit Price]]),AVERAGE(_xlfn._xlws.FILTER(Table16[Unit Price],NOT(ISBLANK(Table16[Unit Price])))),Table16[[#This Row],[Unit Price]])</f>
        <v>453.23</v>
      </c>
      <c r="N294" s="3">
        <v>209.08</v>
      </c>
      <c r="O294" s="11">
        <f>Table16[[#This Row],[Unit sold Filled]]*Table16[[#This Row],[Unit Price Filled]]</f>
        <v>125091.48000000001</v>
      </c>
    </row>
    <row r="295" spans="1:15" x14ac:dyDescent="0.3">
      <c r="A295" s="1" t="s">
        <v>322</v>
      </c>
      <c r="B295" s="1" t="s">
        <v>48</v>
      </c>
      <c r="C295" s="3" t="str">
        <f t="shared" si="9"/>
        <v>South</v>
      </c>
      <c r="D295" s="1" t="s">
        <v>31</v>
      </c>
      <c r="E295" s="1" t="s">
        <v>42</v>
      </c>
      <c r="F295" s="3" t="str">
        <f t="shared" si="8"/>
        <v>Electronics</v>
      </c>
      <c r="G295" s="1" t="s">
        <v>14</v>
      </c>
      <c r="H295" s="1" t="s">
        <v>15</v>
      </c>
      <c r="I295" s="2">
        <v>45220</v>
      </c>
      <c r="J295" s="1"/>
      <c r="K295" s="10" cm="1">
        <f t="array" ref="K295">IF(ISBLANK(Table16[[#This Row],[Units Sold]]),AVERAGE(_xlfn._xlws.FILTER(Table16[Units Sold],NOT(ISBLANK(Table16[Units Sold])))),Table16[[#This Row],[Units Sold]])</f>
        <v>255.90294117647059</v>
      </c>
      <c r="L295" s="3">
        <v>387.45</v>
      </c>
      <c r="M295" s="11" cm="1">
        <f t="array" ref="M295">IF(ISBLANK(Table16[[#This Row],[Unit Price]]),AVERAGE(_xlfn._xlws.FILTER(Table16[Unit Price],NOT(ISBLANK(Table16[Unit Price])))),Table16[[#This Row],[Unit Price]])</f>
        <v>387.45</v>
      </c>
      <c r="N295" s="3">
        <v>150.63999999999999</v>
      </c>
      <c r="O295" s="11">
        <f>Table16[[#This Row],[Unit sold Filled]]*Table16[[#This Row],[Unit Price Filled]]</f>
        <v>99149.594558823534</v>
      </c>
    </row>
    <row r="296" spans="1:15" x14ac:dyDescent="0.3">
      <c r="A296" s="1" t="s">
        <v>323</v>
      </c>
      <c r="B296" s="1" t="s">
        <v>48</v>
      </c>
      <c r="C296" s="3" t="str">
        <f t="shared" si="9"/>
        <v>South</v>
      </c>
      <c r="D296" s="1" t="s">
        <v>12</v>
      </c>
      <c r="E296" s="1" t="s">
        <v>27</v>
      </c>
      <c r="F296" s="3" t="str">
        <f t="shared" si="8"/>
        <v>Furniture</v>
      </c>
      <c r="G296" s="1" t="s">
        <v>14</v>
      </c>
      <c r="H296" s="1" t="s">
        <v>20</v>
      </c>
      <c r="I296" s="2">
        <v>45221</v>
      </c>
      <c r="J296" s="3">
        <v>188</v>
      </c>
      <c r="K296" s="10" cm="1">
        <f t="array" ref="K296">IF(ISBLANK(Table16[[#This Row],[Units Sold]]),AVERAGE(_xlfn._xlws.FILTER(Table16[Units Sold],NOT(ISBLANK(Table16[Units Sold])))),Table16[[#This Row],[Units Sold]])</f>
        <v>188</v>
      </c>
      <c r="L296" s="3">
        <v>136.12</v>
      </c>
      <c r="M296" s="11" cm="1">
        <f t="array" ref="M296">IF(ISBLANK(Table16[[#This Row],[Unit Price]]),AVERAGE(_xlfn._xlws.FILTER(Table16[Unit Price],NOT(ISBLANK(Table16[Unit Price])))),Table16[[#This Row],[Unit Price]])</f>
        <v>136.12</v>
      </c>
      <c r="N296" s="3">
        <v>50.71</v>
      </c>
      <c r="O296" s="11">
        <f>Table16[[#This Row],[Unit sold Filled]]*Table16[[#This Row],[Unit Price Filled]]</f>
        <v>25590.560000000001</v>
      </c>
    </row>
    <row r="297" spans="1:15" x14ac:dyDescent="0.3">
      <c r="A297" s="1" t="s">
        <v>324</v>
      </c>
      <c r="B297" s="1" t="s">
        <v>17</v>
      </c>
      <c r="C297" s="3" t="str">
        <f t="shared" si="9"/>
        <v>West</v>
      </c>
      <c r="D297" s="1" t="s">
        <v>18</v>
      </c>
      <c r="E297" s="1" t="s">
        <v>23</v>
      </c>
      <c r="F297" s="3" t="str">
        <f t="shared" si="8"/>
        <v>Clothing</v>
      </c>
      <c r="G297" s="1" t="s">
        <v>14</v>
      </c>
      <c r="H297" s="1" t="s">
        <v>20</v>
      </c>
      <c r="I297" s="2">
        <v>45222</v>
      </c>
      <c r="J297" s="3">
        <v>97</v>
      </c>
      <c r="K297" s="10" cm="1">
        <f t="array" ref="K297">IF(ISBLANK(Table16[[#This Row],[Units Sold]]),AVERAGE(_xlfn._xlws.FILTER(Table16[Units Sold],NOT(ISBLANK(Table16[Units Sold])))),Table16[[#This Row],[Units Sold]])</f>
        <v>97</v>
      </c>
      <c r="L297" s="3">
        <v>324.42</v>
      </c>
      <c r="M297" s="11" cm="1">
        <f t="array" ref="M297">IF(ISBLANK(Table16[[#This Row],[Unit Price]]),AVERAGE(_xlfn._xlws.FILTER(Table16[Unit Price],NOT(ISBLANK(Table16[Unit Price])))),Table16[[#This Row],[Unit Price]])</f>
        <v>324.42</v>
      </c>
      <c r="N297" s="3">
        <v>294.73</v>
      </c>
      <c r="O297" s="11">
        <f>Table16[[#This Row],[Unit sold Filled]]*Table16[[#This Row],[Unit Price Filled]]</f>
        <v>31468.74</v>
      </c>
    </row>
    <row r="298" spans="1:15" x14ac:dyDescent="0.3">
      <c r="A298" s="1" t="s">
        <v>325</v>
      </c>
      <c r="B298" s="1" t="s">
        <v>48</v>
      </c>
      <c r="C298" s="3" t="str">
        <f t="shared" si="9"/>
        <v>South</v>
      </c>
      <c r="D298" s="1" t="s">
        <v>12</v>
      </c>
      <c r="E298" s="1" t="s">
        <v>27</v>
      </c>
      <c r="F298" s="3" t="str">
        <f t="shared" si="8"/>
        <v>Furniture</v>
      </c>
      <c r="G298" s="1" t="s">
        <v>24</v>
      </c>
      <c r="H298" s="1" t="s">
        <v>15</v>
      </c>
      <c r="I298" s="2">
        <v>45223</v>
      </c>
      <c r="J298" s="3">
        <v>50</v>
      </c>
      <c r="K298" s="10" cm="1">
        <f t="array" ref="K298">IF(ISBLANK(Table16[[#This Row],[Units Sold]]),AVERAGE(_xlfn._xlws.FILTER(Table16[Units Sold],NOT(ISBLANK(Table16[Units Sold])))),Table16[[#This Row],[Units Sold]])</f>
        <v>50</v>
      </c>
      <c r="L298" s="3">
        <v>299.89999999999998</v>
      </c>
      <c r="M298" s="11" cm="1">
        <f t="array" ref="M298">IF(ISBLANK(Table16[[#This Row],[Unit Price]]),AVERAGE(_xlfn._xlws.FILTER(Table16[Unit Price],NOT(ISBLANK(Table16[Unit Price])))),Table16[[#This Row],[Unit Price]])</f>
        <v>299.89999999999998</v>
      </c>
      <c r="N298" s="3">
        <v>95.87</v>
      </c>
      <c r="O298" s="11">
        <f>Table16[[#This Row],[Unit sold Filled]]*Table16[[#This Row],[Unit Price Filled]]</f>
        <v>14994.999999999998</v>
      </c>
    </row>
    <row r="299" spans="1:15" x14ac:dyDescent="0.3">
      <c r="A299" s="1" t="s">
        <v>326</v>
      </c>
      <c r="B299" s="1" t="s">
        <v>11</v>
      </c>
      <c r="C299" s="3" t="str">
        <f t="shared" si="9"/>
        <v>East</v>
      </c>
      <c r="D299" s="1" t="s">
        <v>12</v>
      </c>
      <c r="E299" s="1" t="s">
        <v>23</v>
      </c>
      <c r="F299" s="3" t="str">
        <f t="shared" si="8"/>
        <v>Clothing</v>
      </c>
      <c r="G299" s="1" t="s">
        <v>24</v>
      </c>
      <c r="H299" s="1" t="s">
        <v>20</v>
      </c>
      <c r="I299" s="2">
        <v>45224</v>
      </c>
      <c r="J299" s="3">
        <v>410</v>
      </c>
      <c r="K299" s="10" cm="1">
        <f t="array" ref="K299">IF(ISBLANK(Table16[[#This Row],[Units Sold]]),AVERAGE(_xlfn._xlws.FILTER(Table16[Units Sold],NOT(ISBLANK(Table16[Units Sold])))),Table16[[#This Row],[Units Sold]])</f>
        <v>410</v>
      </c>
      <c r="L299" s="3">
        <v>203.59</v>
      </c>
      <c r="M299" s="11" cm="1">
        <f t="array" ref="M299">IF(ISBLANK(Table16[[#This Row],[Unit Price]]),AVERAGE(_xlfn._xlws.FILTER(Table16[Unit Price],NOT(ISBLANK(Table16[Unit Price])))),Table16[[#This Row],[Unit Price]])</f>
        <v>203.59</v>
      </c>
      <c r="N299" s="3">
        <v>149.83000000000001</v>
      </c>
      <c r="O299" s="11">
        <f>Table16[[#This Row],[Unit sold Filled]]*Table16[[#This Row],[Unit Price Filled]]</f>
        <v>83471.899999999994</v>
      </c>
    </row>
    <row r="300" spans="1:15" x14ac:dyDescent="0.3">
      <c r="A300" s="1" t="s">
        <v>327</v>
      </c>
      <c r="B300" s="1" t="s">
        <v>22</v>
      </c>
      <c r="C300" s="3" t="str">
        <f t="shared" si="9"/>
        <v>North</v>
      </c>
      <c r="D300" s="1" t="s">
        <v>31</v>
      </c>
      <c r="E300" s="1" t="s">
        <v>13</v>
      </c>
      <c r="F300" s="3" t="str">
        <f t="shared" si="8"/>
        <v>Beverages</v>
      </c>
      <c r="G300" s="1" t="s">
        <v>24</v>
      </c>
      <c r="H300" s="1" t="s">
        <v>28</v>
      </c>
      <c r="I300" s="2">
        <v>45225</v>
      </c>
      <c r="J300" s="3">
        <v>85</v>
      </c>
      <c r="K300" s="10" cm="1">
        <f t="array" ref="K300">IF(ISBLANK(Table16[[#This Row],[Units Sold]]),AVERAGE(_xlfn._xlws.FILTER(Table16[Units Sold],NOT(ISBLANK(Table16[Units Sold])))),Table16[[#This Row],[Units Sold]])</f>
        <v>85</v>
      </c>
      <c r="L300" s="3">
        <v>186.64</v>
      </c>
      <c r="M300" s="11" cm="1">
        <f t="array" ref="M300">IF(ISBLANK(Table16[[#This Row],[Unit Price]]),AVERAGE(_xlfn._xlws.FILTER(Table16[Unit Price],NOT(ISBLANK(Table16[Unit Price])))),Table16[[#This Row],[Unit Price]])</f>
        <v>186.64</v>
      </c>
      <c r="N300" s="3">
        <v>26.89</v>
      </c>
      <c r="O300" s="11">
        <f>Table16[[#This Row],[Unit sold Filled]]*Table16[[#This Row],[Unit Price Filled]]</f>
        <v>15864.4</v>
      </c>
    </row>
    <row r="301" spans="1:15" x14ac:dyDescent="0.3">
      <c r="A301" s="1" t="s">
        <v>328</v>
      </c>
      <c r="B301" s="1" t="s">
        <v>17</v>
      </c>
      <c r="C301" s="3" t="str">
        <f t="shared" si="9"/>
        <v>West</v>
      </c>
      <c r="D301" s="1" t="s">
        <v>26</v>
      </c>
      <c r="E301" s="1" t="s">
        <v>19</v>
      </c>
      <c r="F301" s="3" t="str">
        <f t="shared" si="8"/>
        <v>Food</v>
      </c>
      <c r="G301" s="1" t="s">
        <v>14</v>
      </c>
      <c r="H301" s="1" t="s">
        <v>15</v>
      </c>
      <c r="I301" s="2">
        <v>45226</v>
      </c>
      <c r="J301" s="3">
        <v>386</v>
      </c>
      <c r="K301" s="10" cm="1">
        <f t="array" ref="K301">IF(ISBLANK(Table16[[#This Row],[Units Sold]]),AVERAGE(_xlfn._xlws.FILTER(Table16[Units Sold],NOT(ISBLANK(Table16[Units Sold])))),Table16[[#This Row],[Units Sold]])</f>
        <v>386</v>
      </c>
      <c r="L301" s="3">
        <v>175.06</v>
      </c>
      <c r="M301" s="11" cm="1">
        <f t="array" ref="M301">IF(ISBLANK(Table16[[#This Row],[Unit Price]]),AVERAGE(_xlfn._xlws.FILTER(Table16[Unit Price],NOT(ISBLANK(Table16[Unit Price])))),Table16[[#This Row],[Unit Price]])</f>
        <v>175.06</v>
      </c>
      <c r="N301" s="3">
        <v>320.94</v>
      </c>
      <c r="O301" s="11">
        <f>Table16[[#This Row],[Unit sold Filled]]*Table16[[#This Row],[Unit Price Filled]]</f>
        <v>67573.16</v>
      </c>
    </row>
    <row r="302" spans="1:15" x14ac:dyDescent="0.3">
      <c r="A302" s="1" t="s">
        <v>329</v>
      </c>
      <c r="B302" s="1" t="s">
        <v>22</v>
      </c>
      <c r="C302" s="3" t="str">
        <f t="shared" si="9"/>
        <v>North</v>
      </c>
      <c r="D302" s="1" t="s">
        <v>50</v>
      </c>
      <c r="E302" s="1" t="s">
        <v>13</v>
      </c>
      <c r="F302" s="3" t="str">
        <f t="shared" si="8"/>
        <v>Beverages</v>
      </c>
      <c r="G302" s="1" t="s">
        <v>14</v>
      </c>
      <c r="H302" s="1" t="s">
        <v>20</v>
      </c>
      <c r="I302" s="2">
        <v>45227</v>
      </c>
      <c r="J302" s="3">
        <v>55</v>
      </c>
      <c r="K302" s="10" cm="1">
        <f t="array" ref="K302">IF(ISBLANK(Table16[[#This Row],[Units Sold]]),AVERAGE(_xlfn._xlws.FILTER(Table16[Units Sold],NOT(ISBLANK(Table16[Units Sold])))),Table16[[#This Row],[Units Sold]])</f>
        <v>55</v>
      </c>
      <c r="L302" s="3">
        <v>310.49</v>
      </c>
      <c r="M302" s="11" cm="1">
        <f t="array" ref="M302">IF(ISBLANK(Table16[[#This Row],[Unit Price]]),AVERAGE(_xlfn._xlws.FILTER(Table16[Unit Price],NOT(ISBLANK(Table16[Unit Price])))),Table16[[#This Row],[Unit Price]])</f>
        <v>310.49</v>
      </c>
      <c r="N302" s="3">
        <v>307.10000000000002</v>
      </c>
      <c r="O302" s="11">
        <f>Table16[[#This Row],[Unit sold Filled]]*Table16[[#This Row],[Unit Price Filled]]</f>
        <v>17076.95</v>
      </c>
    </row>
    <row r="303" spans="1:15" x14ac:dyDescent="0.3">
      <c r="A303" s="1" t="s">
        <v>330</v>
      </c>
      <c r="B303" s="1" t="s">
        <v>22</v>
      </c>
      <c r="C303" s="3" t="str">
        <f t="shared" si="9"/>
        <v>North</v>
      </c>
      <c r="D303" s="1" t="s">
        <v>50</v>
      </c>
      <c r="E303" s="1" t="s">
        <v>27</v>
      </c>
      <c r="F303" s="3" t="str">
        <f t="shared" si="8"/>
        <v>Furniture</v>
      </c>
      <c r="G303" s="1" t="s">
        <v>24</v>
      </c>
      <c r="H303" s="1" t="s">
        <v>15</v>
      </c>
      <c r="I303" s="2">
        <v>45228</v>
      </c>
      <c r="J303" s="3">
        <v>169</v>
      </c>
      <c r="K303" s="10" cm="1">
        <f t="array" ref="K303">IF(ISBLANK(Table16[[#This Row],[Units Sold]]),AVERAGE(_xlfn._xlws.FILTER(Table16[Units Sold],NOT(ISBLANK(Table16[Units Sold])))),Table16[[#This Row],[Units Sold]])</f>
        <v>169</v>
      </c>
      <c r="L303" s="3">
        <v>223.99</v>
      </c>
      <c r="M303" s="11" cm="1">
        <f t="array" ref="M303">IF(ISBLANK(Table16[[#This Row],[Unit Price]]),AVERAGE(_xlfn._xlws.FILTER(Table16[Unit Price],NOT(ISBLANK(Table16[Unit Price])))),Table16[[#This Row],[Unit Price]])</f>
        <v>223.99</v>
      </c>
      <c r="N303" s="3">
        <v>293.98</v>
      </c>
      <c r="O303" s="11">
        <f>Table16[[#This Row],[Unit sold Filled]]*Table16[[#This Row],[Unit Price Filled]]</f>
        <v>37854.310000000005</v>
      </c>
    </row>
    <row r="304" spans="1:15" x14ac:dyDescent="0.3">
      <c r="A304" s="1" t="s">
        <v>331</v>
      </c>
      <c r="B304" s="1" t="s">
        <v>11</v>
      </c>
      <c r="C304" s="3" t="str">
        <f t="shared" si="9"/>
        <v>East</v>
      </c>
      <c r="D304" s="1" t="s">
        <v>31</v>
      </c>
      <c r="E304" s="1" t="s">
        <v>19</v>
      </c>
      <c r="F304" s="3" t="str">
        <f t="shared" si="8"/>
        <v>Food</v>
      </c>
      <c r="G304" s="1" t="s">
        <v>14</v>
      </c>
      <c r="H304" s="1" t="s">
        <v>28</v>
      </c>
      <c r="I304" s="2">
        <v>45229</v>
      </c>
      <c r="J304" s="3">
        <v>472</v>
      </c>
      <c r="K304" s="10" cm="1">
        <f t="array" ref="K304">IF(ISBLANK(Table16[[#This Row],[Units Sold]]),AVERAGE(_xlfn._xlws.FILTER(Table16[Units Sold],NOT(ISBLANK(Table16[Units Sold])))),Table16[[#This Row],[Units Sold]])</f>
        <v>472</v>
      </c>
      <c r="L304" s="3">
        <v>416.77</v>
      </c>
      <c r="M304" s="11" cm="1">
        <f t="array" ref="M304">IF(ISBLANK(Table16[[#This Row],[Unit Price]]),AVERAGE(_xlfn._xlws.FILTER(Table16[Unit Price],NOT(ISBLANK(Table16[Unit Price])))),Table16[[#This Row],[Unit Price]])</f>
        <v>416.77</v>
      </c>
      <c r="N304" s="3">
        <v>121.18</v>
      </c>
      <c r="O304" s="11">
        <f>Table16[[#This Row],[Unit sold Filled]]*Table16[[#This Row],[Unit Price Filled]]</f>
        <v>196715.44</v>
      </c>
    </row>
    <row r="305" spans="1:15" x14ac:dyDescent="0.3">
      <c r="A305" s="1" t="s">
        <v>332</v>
      </c>
      <c r="B305" s="1" t="s">
        <v>48</v>
      </c>
      <c r="C305" s="3" t="str">
        <f t="shared" si="9"/>
        <v>South</v>
      </c>
      <c r="D305" s="1" t="s">
        <v>12</v>
      </c>
      <c r="E305" s="1" t="s">
        <v>23</v>
      </c>
      <c r="F305" s="3" t="str">
        <f t="shared" si="8"/>
        <v>Clothing</v>
      </c>
      <c r="G305" s="1" t="s">
        <v>14</v>
      </c>
      <c r="H305" s="1" t="s">
        <v>28</v>
      </c>
      <c r="I305" s="2">
        <v>45230</v>
      </c>
      <c r="J305" s="3">
        <v>89</v>
      </c>
      <c r="K305" s="10" cm="1">
        <f t="array" ref="K305">IF(ISBLANK(Table16[[#This Row],[Units Sold]]),AVERAGE(_xlfn._xlws.FILTER(Table16[Units Sold],NOT(ISBLANK(Table16[Units Sold])))),Table16[[#This Row],[Units Sold]])</f>
        <v>89</v>
      </c>
      <c r="L305" s="3">
        <v>336.45</v>
      </c>
      <c r="M305" s="11" cm="1">
        <f t="array" ref="M305">IF(ISBLANK(Table16[[#This Row],[Unit Price]]),AVERAGE(_xlfn._xlws.FILTER(Table16[Unit Price],NOT(ISBLANK(Table16[Unit Price])))),Table16[[#This Row],[Unit Price]])</f>
        <v>336.45</v>
      </c>
      <c r="N305" s="3">
        <v>71.05</v>
      </c>
      <c r="O305" s="11">
        <f>Table16[[#This Row],[Unit sold Filled]]*Table16[[#This Row],[Unit Price Filled]]</f>
        <v>29944.05</v>
      </c>
    </row>
    <row r="306" spans="1:15" x14ac:dyDescent="0.3">
      <c r="A306" s="1" t="s">
        <v>333</v>
      </c>
      <c r="B306" s="1" t="s">
        <v>48</v>
      </c>
      <c r="C306" s="3" t="str">
        <f t="shared" si="9"/>
        <v>South</v>
      </c>
      <c r="D306" s="1" t="s">
        <v>18</v>
      </c>
      <c r="E306" s="1" t="s">
        <v>19</v>
      </c>
      <c r="F306" s="3" t="str">
        <f t="shared" si="8"/>
        <v>Food</v>
      </c>
      <c r="G306" s="1" t="s">
        <v>14</v>
      </c>
      <c r="H306" s="1" t="s">
        <v>20</v>
      </c>
      <c r="I306" s="2">
        <v>45231</v>
      </c>
      <c r="J306" s="3">
        <v>319</v>
      </c>
      <c r="K306" s="10" cm="1">
        <f t="array" ref="K306">IF(ISBLANK(Table16[[#This Row],[Units Sold]]),AVERAGE(_xlfn._xlws.FILTER(Table16[Units Sold],NOT(ISBLANK(Table16[Units Sold])))),Table16[[#This Row],[Units Sold]])</f>
        <v>319</v>
      </c>
      <c r="L306" s="3">
        <v>39.619999999999997</v>
      </c>
      <c r="M306" s="11" cm="1">
        <f t="array" ref="M306">IF(ISBLANK(Table16[[#This Row],[Unit Price]]),AVERAGE(_xlfn._xlws.FILTER(Table16[Unit Price],NOT(ISBLANK(Table16[Unit Price])))),Table16[[#This Row],[Unit Price]])</f>
        <v>39.619999999999997</v>
      </c>
      <c r="N306" s="3">
        <v>255.75</v>
      </c>
      <c r="O306" s="11">
        <f>Table16[[#This Row],[Unit sold Filled]]*Table16[[#This Row],[Unit Price Filled]]</f>
        <v>12638.779999999999</v>
      </c>
    </row>
    <row r="307" spans="1:15" x14ac:dyDescent="0.3">
      <c r="A307" s="1" t="s">
        <v>334</v>
      </c>
      <c r="B307" s="1" t="s">
        <v>22</v>
      </c>
      <c r="C307" s="3" t="str">
        <f t="shared" si="9"/>
        <v>North</v>
      </c>
      <c r="D307" s="1" t="s">
        <v>12</v>
      </c>
      <c r="E307" s="1"/>
      <c r="F307" s="3" t="str">
        <f t="shared" si="8"/>
        <v>Unknown</v>
      </c>
      <c r="G307" s="1" t="s">
        <v>14</v>
      </c>
      <c r="H307" s="1" t="s">
        <v>28</v>
      </c>
      <c r="I307" s="2">
        <v>45232</v>
      </c>
      <c r="J307" s="3">
        <v>95</v>
      </c>
      <c r="K307" s="10" cm="1">
        <f t="array" ref="K307">IF(ISBLANK(Table16[[#This Row],[Units Sold]]),AVERAGE(_xlfn._xlws.FILTER(Table16[Units Sold],NOT(ISBLANK(Table16[Units Sold])))),Table16[[#This Row],[Units Sold]])</f>
        <v>95</v>
      </c>
      <c r="L307" s="3">
        <v>321.88</v>
      </c>
      <c r="M307" s="11" cm="1">
        <f t="array" ref="M307">IF(ISBLANK(Table16[[#This Row],[Unit Price]]),AVERAGE(_xlfn._xlws.FILTER(Table16[Unit Price],NOT(ISBLANK(Table16[Unit Price])))),Table16[[#This Row],[Unit Price]])</f>
        <v>321.88</v>
      </c>
      <c r="N307" s="3">
        <v>199.47</v>
      </c>
      <c r="O307" s="11">
        <f>Table16[[#This Row],[Unit sold Filled]]*Table16[[#This Row],[Unit Price Filled]]</f>
        <v>30578.6</v>
      </c>
    </row>
    <row r="308" spans="1:15" x14ac:dyDescent="0.3">
      <c r="A308" s="1" t="s">
        <v>335</v>
      </c>
      <c r="B308" s="1" t="s">
        <v>17</v>
      </c>
      <c r="C308" s="3" t="str">
        <f t="shared" si="9"/>
        <v>West</v>
      </c>
      <c r="D308" s="1" t="s">
        <v>31</v>
      </c>
      <c r="E308" s="1"/>
      <c r="F308" s="3" t="str">
        <f t="shared" si="8"/>
        <v>Unknown</v>
      </c>
      <c r="G308" s="1" t="s">
        <v>24</v>
      </c>
      <c r="H308" s="1" t="s">
        <v>15</v>
      </c>
      <c r="I308" s="2">
        <v>45233</v>
      </c>
      <c r="J308" s="3">
        <v>101</v>
      </c>
      <c r="K308" s="10" cm="1">
        <f t="array" ref="K308">IF(ISBLANK(Table16[[#This Row],[Units Sold]]),AVERAGE(_xlfn._xlws.FILTER(Table16[Units Sold],NOT(ISBLANK(Table16[Units Sold])))),Table16[[#This Row],[Units Sold]])</f>
        <v>101</v>
      </c>
      <c r="L308" s="3">
        <v>139.22</v>
      </c>
      <c r="M308" s="11" cm="1">
        <f t="array" ref="M308">IF(ISBLANK(Table16[[#This Row],[Unit Price]]),AVERAGE(_xlfn._xlws.FILTER(Table16[Unit Price],NOT(ISBLANK(Table16[Unit Price])))),Table16[[#This Row],[Unit Price]])</f>
        <v>139.22</v>
      </c>
      <c r="N308" s="3">
        <v>72.94</v>
      </c>
      <c r="O308" s="11">
        <f>Table16[[#This Row],[Unit sold Filled]]*Table16[[#This Row],[Unit Price Filled]]</f>
        <v>14061.22</v>
      </c>
    </row>
    <row r="309" spans="1:15" x14ac:dyDescent="0.3">
      <c r="A309" s="1" t="s">
        <v>336</v>
      </c>
      <c r="B309" s="1" t="s">
        <v>48</v>
      </c>
      <c r="C309" s="3" t="str">
        <f t="shared" si="9"/>
        <v>South</v>
      </c>
      <c r="D309" s="1" t="s">
        <v>50</v>
      </c>
      <c r="E309" s="1"/>
      <c r="F309" s="3" t="str">
        <f t="shared" si="8"/>
        <v>Unknown</v>
      </c>
      <c r="G309" s="1" t="s">
        <v>14</v>
      </c>
      <c r="H309" s="1" t="s">
        <v>28</v>
      </c>
      <c r="I309" s="2">
        <v>45234</v>
      </c>
      <c r="J309" s="3">
        <v>157</v>
      </c>
      <c r="K309" s="10" cm="1">
        <f t="array" ref="K309">IF(ISBLANK(Table16[[#This Row],[Units Sold]]),AVERAGE(_xlfn._xlws.FILTER(Table16[Units Sold],NOT(ISBLANK(Table16[Units Sold])))),Table16[[#This Row],[Units Sold]])</f>
        <v>157</v>
      </c>
      <c r="L309" s="1"/>
      <c r="M309" s="11" cm="1">
        <f t="array" ref="M309">IF(ISBLANK(Table16[[#This Row],[Unit Price]]),AVERAGE(_xlfn._xlws.FILTER(Table16[Unit Price],NOT(ISBLANK(Table16[Unit Price])))),Table16[[#This Row],[Unit Price]])</f>
        <v>249.64520588235297</v>
      </c>
      <c r="N309" s="3">
        <v>274.99</v>
      </c>
      <c r="O309" s="11">
        <f>Table16[[#This Row],[Unit sold Filled]]*Table16[[#This Row],[Unit Price Filled]]</f>
        <v>39194.297323529419</v>
      </c>
    </row>
    <row r="310" spans="1:15" x14ac:dyDescent="0.3">
      <c r="A310" s="1" t="s">
        <v>337</v>
      </c>
      <c r="B310" s="1" t="s">
        <v>17</v>
      </c>
      <c r="C310" s="3" t="str">
        <f t="shared" si="9"/>
        <v>West</v>
      </c>
      <c r="D310" s="1" t="s">
        <v>12</v>
      </c>
      <c r="E310" s="1" t="s">
        <v>19</v>
      </c>
      <c r="F310" s="3" t="str">
        <f t="shared" si="8"/>
        <v>Food</v>
      </c>
      <c r="G310" s="1" t="s">
        <v>14</v>
      </c>
      <c r="H310" s="1" t="s">
        <v>15</v>
      </c>
      <c r="I310" s="2">
        <v>45235</v>
      </c>
      <c r="J310" s="3">
        <v>170</v>
      </c>
      <c r="K310" s="10" cm="1">
        <f t="array" ref="K310">IF(ISBLANK(Table16[[#This Row],[Units Sold]]),AVERAGE(_xlfn._xlws.FILTER(Table16[Units Sold],NOT(ISBLANK(Table16[Units Sold])))),Table16[[#This Row],[Units Sold]])</f>
        <v>170</v>
      </c>
      <c r="L310" s="3">
        <v>341.67</v>
      </c>
      <c r="M310" s="11" cm="1">
        <f t="array" ref="M310">IF(ISBLANK(Table16[[#This Row],[Unit Price]]),AVERAGE(_xlfn._xlws.FILTER(Table16[Unit Price],NOT(ISBLANK(Table16[Unit Price])))),Table16[[#This Row],[Unit Price]])</f>
        <v>341.67</v>
      </c>
      <c r="N310" s="3">
        <v>396.47</v>
      </c>
      <c r="O310" s="11">
        <f>Table16[[#This Row],[Unit sold Filled]]*Table16[[#This Row],[Unit Price Filled]]</f>
        <v>58083.9</v>
      </c>
    </row>
    <row r="311" spans="1:15" x14ac:dyDescent="0.3">
      <c r="A311" s="1" t="s">
        <v>338</v>
      </c>
      <c r="B311" s="1" t="s">
        <v>48</v>
      </c>
      <c r="C311" s="3" t="str">
        <f t="shared" si="9"/>
        <v>South</v>
      </c>
      <c r="D311" s="1" t="s">
        <v>50</v>
      </c>
      <c r="E311" s="1" t="s">
        <v>42</v>
      </c>
      <c r="F311" s="3" t="str">
        <f t="shared" si="8"/>
        <v>Electronics</v>
      </c>
      <c r="G311" s="1" t="s">
        <v>14</v>
      </c>
      <c r="H311" s="1" t="s">
        <v>15</v>
      </c>
      <c r="I311" s="2">
        <v>45236</v>
      </c>
      <c r="J311" s="3">
        <v>211</v>
      </c>
      <c r="K311" s="10" cm="1">
        <f t="array" ref="K311">IF(ISBLANK(Table16[[#This Row],[Units Sold]]),AVERAGE(_xlfn._xlws.FILTER(Table16[Units Sold],NOT(ISBLANK(Table16[Units Sold])))),Table16[[#This Row],[Units Sold]])</f>
        <v>211</v>
      </c>
      <c r="L311" s="3">
        <v>119.26</v>
      </c>
      <c r="M311" s="11" cm="1">
        <f t="array" ref="M311">IF(ISBLANK(Table16[[#This Row],[Unit Price]]),AVERAGE(_xlfn._xlws.FILTER(Table16[Unit Price],NOT(ISBLANK(Table16[Unit Price])))),Table16[[#This Row],[Unit Price]])</f>
        <v>119.26</v>
      </c>
      <c r="N311" s="3">
        <v>299.39</v>
      </c>
      <c r="O311" s="11">
        <f>Table16[[#This Row],[Unit sold Filled]]*Table16[[#This Row],[Unit Price Filled]]</f>
        <v>25163.86</v>
      </c>
    </row>
    <row r="312" spans="1:15" x14ac:dyDescent="0.3">
      <c r="A312" s="1" t="s">
        <v>339</v>
      </c>
      <c r="B312" s="1" t="s">
        <v>17</v>
      </c>
      <c r="C312" s="3" t="str">
        <f t="shared" si="9"/>
        <v>West</v>
      </c>
      <c r="D312" s="1" t="s">
        <v>18</v>
      </c>
      <c r="E312" s="1" t="s">
        <v>27</v>
      </c>
      <c r="F312" s="3" t="str">
        <f t="shared" si="8"/>
        <v>Furniture</v>
      </c>
      <c r="G312" s="1" t="s">
        <v>14</v>
      </c>
      <c r="H312" s="1" t="s">
        <v>28</v>
      </c>
      <c r="I312" s="2">
        <v>45237</v>
      </c>
      <c r="J312" s="3">
        <v>433</v>
      </c>
      <c r="K312" s="10" cm="1">
        <f t="array" ref="K312">IF(ISBLANK(Table16[[#This Row],[Units Sold]]),AVERAGE(_xlfn._xlws.FILTER(Table16[Units Sold],NOT(ISBLANK(Table16[Units Sold])))),Table16[[#This Row],[Units Sold]])</f>
        <v>433</v>
      </c>
      <c r="L312" s="3">
        <v>231.15</v>
      </c>
      <c r="M312" s="11" cm="1">
        <f t="array" ref="M312">IF(ISBLANK(Table16[[#This Row],[Unit Price]]),AVERAGE(_xlfn._xlws.FILTER(Table16[Unit Price],NOT(ISBLANK(Table16[Unit Price])))),Table16[[#This Row],[Unit Price]])</f>
        <v>231.15</v>
      </c>
      <c r="N312" s="3">
        <v>296.51</v>
      </c>
      <c r="O312" s="11">
        <f>Table16[[#This Row],[Unit sold Filled]]*Table16[[#This Row],[Unit Price Filled]]</f>
        <v>100087.95</v>
      </c>
    </row>
    <row r="313" spans="1:15" x14ac:dyDescent="0.3">
      <c r="A313" s="1" t="s">
        <v>340</v>
      </c>
      <c r="B313" s="1" t="s">
        <v>11</v>
      </c>
      <c r="C313" s="3" t="str">
        <f t="shared" si="9"/>
        <v>East</v>
      </c>
      <c r="D313" s="1" t="s">
        <v>50</v>
      </c>
      <c r="E313" s="1" t="s">
        <v>13</v>
      </c>
      <c r="F313" s="3" t="str">
        <f t="shared" si="8"/>
        <v>Beverages</v>
      </c>
      <c r="G313" s="1" t="s">
        <v>24</v>
      </c>
      <c r="H313" s="1" t="s">
        <v>20</v>
      </c>
      <c r="I313" s="2">
        <v>45238</v>
      </c>
      <c r="J313" s="3">
        <v>425</v>
      </c>
      <c r="K313" s="10" cm="1">
        <f t="array" ref="K313">IF(ISBLANK(Table16[[#This Row],[Units Sold]]),AVERAGE(_xlfn._xlws.FILTER(Table16[Units Sold],NOT(ISBLANK(Table16[Units Sold])))),Table16[[#This Row],[Units Sold]])</f>
        <v>425</v>
      </c>
      <c r="L313" s="3">
        <v>99.21</v>
      </c>
      <c r="M313" s="11" cm="1">
        <f t="array" ref="M313">IF(ISBLANK(Table16[[#This Row],[Unit Price]]),AVERAGE(_xlfn._xlws.FILTER(Table16[Unit Price],NOT(ISBLANK(Table16[Unit Price])))),Table16[[#This Row],[Unit Price]])</f>
        <v>99.21</v>
      </c>
      <c r="N313" s="3">
        <v>380.22</v>
      </c>
      <c r="O313" s="11">
        <f>Table16[[#This Row],[Unit sold Filled]]*Table16[[#This Row],[Unit Price Filled]]</f>
        <v>42164.25</v>
      </c>
    </row>
    <row r="314" spans="1:15" x14ac:dyDescent="0.3">
      <c r="A314" s="1" t="s">
        <v>341</v>
      </c>
      <c r="B314" s="1" t="s">
        <v>17</v>
      </c>
      <c r="C314" s="3" t="str">
        <f t="shared" si="9"/>
        <v>West</v>
      </c>
      <c r="D314" s="1" t="s">
        <v>50</v>
      </c>
      <c r="E314" s="1" t="s">
        <v>23</v>
      </c>
      <c r="F314" s="3" t="str">
        <f t="shared" si="8"/>
        <v>Clothing</v>
      </c>
      <c r="G314" s="1" t="s">
        <v>24</v>
      </c>
      <c r="H314" s="1" t="s">
        <v>28</v>
      </c>
      <c r="I314" s="2">
        <v>45239</v>
      </c>
      <c r="J314" s="3">
        <v>251</v>
      </c>
      <c r="K314" s="10" cm="1">
        <f t="array" ref="K314">IF(ISBLANK(Table16[[#This Row],[Units Sold]]),AVERAGE(_xlfn._xlws.FILTER(Table16[Units Sold],NOT(ISBLANK(Table16[Units Sold])))),Table16[[#This Row],[Units Sold]])</f>
        <v>251</v>
      </c>
      <c r="L314" s="3">
        <v>30.91</v>
      </c>
      <c r="M314" s="11" cm="1">
        <f t="array" ref="M314">IF(ISBLANK(Table16[[#This Row],[Unit Price]]),AVERAGE(_xlfn._xlws.FILTER(Table16[Unit Price],NOT(ISBLANK(Table16[Unit Price])))),Table16[[#This Row],[Unit Price]])</f>
        <v>30.91</v>
      </c>
      <c r="N314" s="3">
        <v>82.77</v>
      </c>
      <c r="O314" s="11">
        <f>Table16[[#This Row],[Unit sold Filled]]*Table16[[#This Row],[Unit Price Filled]]</f>
        <v>7758.41</v>
      </c>
    </row>
    <row r="315" spans="1:15" x14ac:dyDescent="0.3">
      <c r="A315" s="1" t="s">
        <v>342</v>
      </c>
      <c r="B315" s="1" t="s">
        <v>11</v>
      </c>
      <c r="C315" s="3" t="str">
        <f t="shared" si="9"/>
        <v>East</v>
      </c>
      <c r="D315" s="1" t="s">
        <v>26</v>
      </c>
      <c r="E315" s="1" t="s">
        <v>19</v>
      </c>
      <c r="F315" s="3" t="str">
        <f t="shared" si="8"/>
        <v>Food</v>
      </c>
      <c r="G315" s="1" t="s">
        <v>14</v>
      </c>
      <c r="H315" s="1" t="s">
        <v>15</v>
      </c>
      <c r="I315" s="2">
        <v>45240</v>
      </c>
      <c r="J315" s="1"/>
      <c r="K315" s="10" cm="1">
        <f t="array" ref="K315">IF(ISBLANK(Table16[[#This Row],[Units Sold]]),AVERAGE(_xlfn._xlws.FILTER(Table16[Units Sold],NOT(ISBLANK(Table16[Units Sold])))),Table16[[#This Row],[Units Sold]])</f>
        <v>255.90294117647059</v>
      </c>
      <c r="L315" s="3">
        <v>192.35</v>
      </c>
      <c r="M315" s="11" cm="1">
        <f t="array" ref="M315">IF(ISBLANK(Table16[[#This Row],[Unit Price]]),AVERAGE(_xlfn._xlws.FILTER(Table16[Unit Price],NOT(ISBLANK(Table16[Unit Price])))),Table16[[#This Row],[Unit Price]])</f>
        <v>192.35</v>
      </c>
      <c r="N315" s="3">
        <v>227.09</v>
      </c>
      <c r="O315" s="11">
        <f>Table16[[#This Row],[Unit sold Filled]]*Table16[[#This Row],[Unit Price Filled]]</f>
        <v>49222.930735294118</v>
      </c>
    </row>
    <row r="316" spans="1:15" x14ac:dyDescent="0.3">
      <c r="A316" s="1" t="s">
        <v>343</v>
      </c>
      <c r="B316" s="1" t="s">
        <v>11</v>
      </c>
      <c r="C316" s="3" t="str">
        <f t="shared" si="9"/>
        <v>East</v>
      </c>
      <c r="D316" s="1" t="s">
        <v>26</v>
      </c>
      <c r="E316" s="1" t="s">
        <v>13</v>
      </c>
      <c r="F316" s="3" t="str">
        <f t="shared" si="8"/>
        <v>Beverages</v>
      </c>
      <c r="G316" s="1" t="s">
        <v>14</v>
      </c>
      <c r="H316" s="1" t="s">
        <v>15</v>
      </c>
      <c r="I316" s="2">
        <v>45241</v>
      </c>
      <c r="J316" s="3">
        <v>11</v>
      </c>
      <c r="K316" s="10" cm="1">
        <f t="array" ref="K316">IF(ISBLANK(Table16[[#This Row],[Units Sold]]),AVERAGE(_xlfn._xlws.FILTER(Table16[Units Sold],NOT(ISBLANK(Table16[Units Sold])))),Table16[[#This Row],[Units Sold]])</f>
        <v>11</v>
      </c>
      <c r="L316" s="3">
        <v>184.66</v>
      </c>
      <c r="M316" s="11" cm="1">
        <f t="array" ref="M316">IF(ISBLANK(Table16[[#This Row],[Unit Price]]),AVERAGE(_xlfn._xlws.FILTER(Table16[Unit Price],NOT(ISBLANK(Table16[Unit Price])))),Table16[[#This Row],[Unit Price]])</f>
        <v>184.66</v>
      </c>
      <c r="N316" s="3">
        <v>391.9</v>
      </c>
      <c r="O316" s="11">
        <f>Table16[[#This Row],[Unit sold Filled]]*Table16[[#This Row],[Unit Price Filled]]</f>
        <v>2031.26</v>
      </c>
    </row>
    <row r="317" spans="1:15" x14ac:dyDescent="0.3">
      <c r="A317" s="1" t="s">
        <v>344</v>
      </c>
      <c r="B317" s="1" t="s">
        <v>17</v>
      </c>
      <c r="C317" s="3" t="str">
        <f t="shared" si="9"/>
        <v>West</v>
      </c>
      <c r="D317" s="1" t="s">
        <v>26</v>
      </c>
      <c r="E317" s="1" t="s">
        <v>23</v>
      </c>
      <c r="F317" s="3" t="str">
        <f t="shared" si="8"/>
        <v>Clothing</v>
      </c>
      <c r="G317" s="1" t="s">
        <v>14</v>
      </c>
      <c r="H317" s="1" t="s">
        <v>28</v>
      </c>
      <c r="I317" s="2">
        <v>45242</v>
      </c>
      <c r="J317" s="3">
        <v>234</v>
      </c>
      <c r="K317" s="10" cm="1">
        <f t="array" ref="K317">IF(ISBLANK(Table16[[#This Row],[Units Sold]]),AVERAGE(_xlfn._xlws.FILTER(Table16[Units Sold],NOT(ISBLANK(Table16[Units Sold])))),Table16[[#This Row],[Units Sold]])</f>
        <v>234</v>
      </c>
      <c r="L317" s="3">
        <v>497.76</v>
      </c>
      <c r="M317" s="11" cm="1">
        <f t="array" ref="M317">IF(ISBLANK(Table16[[#This Row],[Unit Price]]),AVERAGE(_xlfn._xlws.FILTER(Table16[Unit Price],NOT(ISBLANK(Table16[Unit Price])))),Table16[[#This Row],[Unit Price]])</f>
        <v>497.76</v>
      </c>
      <c r="N317" s="3">
        <v>67.790000000000006</v>
      </c>
      <c r="O317" s="11">
        <f>Table16[[#This Row],[Unit sold Filled]]*Table16[[#This Row],[Unit Price Filled]]</f>
        <v>116475.84</v>
      </c>
    </row>
    <row r="318" spans="1:15" x14ac:dyDescent="0.3">
      <c r="A318" s="1" t="s">
        <v>345</v>
      </c>
      <c r="B318" s="1" t="s">
        <v>11</v>
      </c>
      <c r="C318" s="3" t="str">
        <f t="shared" si="9"/>
        <v>East</v>
      </c>
      <c r="D318" s="1" t="s">
        <v>50</v>
      </c>
      <c r="E318" s="1" t="s">
        <v>23</v>
      </c>
      <c r="F318" s="3" t="str">
        <f t="shared" si="8"/>
        <v>Clothing</v>
      </c>
      <c r="G318" s="1" t="s">
        <v>14</v>
      </c>
      <c r="H318" s="1" t="s">
        <v>20</v>
      </c>
      <c r="I318" s="2">
        <v>45243</v>
      </c>
      <c r="J318" s="1"/>
      <c r="K318" s="10" cm="1">
        <f t="array" ref="K318">IF(ISBLANK(Table16[[#This Row],[Units Sold]]),AVERAGE(_xlfn._xlws.FILTER(Table16[Units Sold],NOT(ISBLANK(Table16[Units Sold])))),Table16[[#This Row],[Units Sold]])</f>
        <v>255.90294117647059</v>
      </c>
      <c r="L318" s="3">
        <v>225.94</v>
      </c>
      <c r="M318" s="11" cm="1">
        <f t="array" ref="M318">IF(ISBLANK(Table16[[#This Row],[Unit Price]]),AVERAGE(_xlfn._xlws.FILTER(Table16[Unit Price],NOT(ISBLANK(Table16[Unit Price])))),Table16[[#This Row],[Unit Price]])</f>
        <v>225.94</v>
      </c>
      <c r="N318" s="3">
        <v>280.7</v>
      </c>
      <c r="O318" s="11">
        <f>Table16[[#This Row],[Unit sold Filled]]*Table16[[#This Row],[Unit Price Filled]]</f>
        <v>57818.710529411765</v>
      </c>
    </row>
    <row r="319" spans="1:15" x14ac:dyDescent="0.3">
      <c r="A319" s="1" t="s">
        <v>346</v>
      </c>
      <c r="B319" s="1" t="s">
        <v>22</v>
      </c>
      <c r="C319" s="3" t="str">
        <f t="shared" si="9"/>
        <v>North</v>
      </c>
      <c r="D319" s="1" t="s">
        <v>31</v>
      </c>
      <c r="E319" s="1" t="s">
        <v>42</v>
      </c>
      <c r="F319" s="3" t="str">
        <f t="shared" si="8"/>
        <v>Electronics</v>
      </c>
      <c r="G319" s="1" t="s">
        <v>14</v>
      </c>
      <c r="H319" s="1" t="s">
        <v>20</v>
      </c>
      <c r="I319" s="2">
        <v>45244</v>
      </c>
      <c r="J319" s="3">
        <v>242</v>
      </c>
      <c r="K319" s="10" cm="1">
        <f t="array" ref="K319">IF(ISBLANK(Table16[[#This Row],[Units Sold]]),AVERAGE(_xlfn._xlws.FILTER(Table16[Units Sold],NOT(ISBLANK(Table16[Units Sold])))),Table16[[#This Row],[Units Sold]])</f>
        <v>242</v>
      </c>
      <c r="L319" s="3">
        <v>170.12</v>
      </c>
      <c r="M319" s="11" cm="1">
        <f t="array" ref="M319">IF(ISBLANK(Table16[[#This Row],[Unit Price]]),AVERAGE(_xlfn._xlws.FILTER(Table16[Unit Price],NOT(ISBLANK(Table16[Unit Price])))),Table16[[#This Row],[Unit Price]])</f>
        <v>170.12</v>
      </c>
      <c r="N319" s="3">
        <v>235.15</v>
      </c>
      <c r="O319" s="11">
        <f>Table16[[#This Row],[Unit sold Filled]]*Table16[[#This Row],[Unit Price Filled]]</f>
        <v>41169.040000000001</v>
      </c>
    </row>
    <row r="320" spans="1:15" x14ac:dyDescent="0.3">
      <c r="A320" s="1" t="s">
        <v>347</v>
      </c>
      <c r="B320" s="1" t="s">
        <v>11</v>
      </c>
      <c r="C320" s="3" t="str">
        <f t="shared" si="9"/>
        <v>East</v>
      </c>
      <c r="D320" s="1" t="s">
        <v>50</v>
      </c>
      <c r="E320" s="1" t="s">
        <v>27</v>
      </c>
      <c r="F320" s="3" t="str">
        <f t="shared" si="8"/>
        <v>Furniture</v>
      </c>
      <c r="G320" s="1" t="s">
        <v>14</v>
      </c>
      <c r="H320" s="1" t="s">
        <v>15</v>
      </c>
      <c r="I320" s="2">
        <v>45245</v>
      </c>
      <c r="J320" s="3">
        <v>470</v>
      </c>
      <c r="K320" s="10" cm="1">
        <f t="array" ref="K320">IF(ISBLANK(Table16[[#This Row],[Units Sold]]),AVERAGE(_xlfn._xlws.FILTER(Table16[Units Sold],NOT(ISBLANK(Table16[Units Sold])))),Table16[[#This Row],[Units Sold]])</f>
        <v>470</v>
      </c>
      <c r="L320" s="3">
        <v>292.33999999999997</v>
      </c>
      <c r="M320" s="11" cm="1">
        <f t="array" ref="M320">IF(ISBLANK(Table16[[#This Row],[Unit Price]]),AVERAGE(_xlfn._xlws.FILTER(Table16[Unit Price],NOT(ISBLANK(Table16[Unit Price])))),Table16[[#This Row],[Unit Price]])</f>
        <v>292.33999999999997</v>
      </c>
      <c r="N320" s="3">
        <v>235.42</v>
      </c>
      <c r="O320" s="11">
        <f>Table16[[#This Row],[Unit sold Filled]]*Table16[[#This Row],[Unit Price Filled]]</f>
        <v>137399.79999999999</v>
      </c>
    </row>
    <row r="321" spans="1:15" x14ac:dyDescent="0.3">
      <c r="A321" s="1" t="s">
        <v>348</v>
      </c>
      <c r="B321" s="1" t="s">
        <v>48</v>
      </c>
      <c r="C321" s="3" t="str">
        <f t="shared" si="9"/>
        <v>South</v>
      </c>
      <c r="D321" s="1" t="s">
        <v>31</v>
      </c>
      <c r="E321" s="1" t="s">
        <v>27</v>
      </c>
      <c r="F321" s="3" t="str">
        <f t="shared" si="8"/>
        <v>Furniture</v>
      </c>
      <c r="G321" s="1" t="s">
        <v>24</v>
      </c>
      <c r="H321" s="1" t="s">
        <v>15</v>
      </c>
      <c r="I321" s="2">
        <v>45246</v>
      </c>
      <c r="J321" s="3">
        <v>423</v>
      </c>
      <c r="K321" s="10" cm="1">
        <f t="array" ref="K321">IF(ISBLANK(Table16[[#This Row],[Units Sold]]),AVERAGE(_xlfn._xlws.FILTER(Table16[Units Sold],NOT(ISBLANK(Table16[Units Sold])))),Table16[[#This Row],[Units Sold]])</f>
        <v>423</v>
      </c>
      <c r="L321" s="3">
        <v>48.94</v>
      </c>
      <c r="M321" s="11" cm="1">
        <f t="array" ref="M321">IF(ISBLANK(Table16[[#This Row],[Unit Price]]),AVERAGE(_xlfn._xlws.FILTER(Table16[Unit Price],NOT(ISBLANK(Table16[Unit Price])))),Table16[[#This Row],[Unit Price]])</f>
        <v>48.94</v>
      </c>
      <c r="N321" s="3">
        <v>279.67</v>
      </c>
      <c r="O321" s="11">
        <f>Table16[[#This Row],[Unit sold Filled]]*Table16[[#This Row],[Unit Price Filled]]</f>
        <v>20701.62</v>
      </c>
    </row>
    <row r="322" spans="1:15" x14ac:dyDescent="0.3">
      <c r="A322" s="1" t="s">
        <v>349</v>
      </c>
      <c r="B322" s="1" t="s">
        <v>17</v>
      </c>
      <c r="C322" s="3" t="str">
        <f t="shared" si="9"/>
        <v>West</v>
      </c>
      <c r="D322" s="1" t="s">
        <v>31</v>
      </c>
      <c r="E322" s="1" t="s">
        <v>13</v>
      </c>
      <c r="F322" s="3" t="str">
        <f t="shared" ref="F322:F351" si="10">IF(ISBLANK($E322), "Unknown", $E322)</f>
        <v>Beverages</v>
      </c>
      <c r="G322" s="1" t="s">
        <v>14</v>
      </c>
      <c r="H322" s="1" t="s">
        <v>20</v>
      </c>
      <c r="I322" s="2">
        <v>45247</v>
      </c>
      <c r="J322" s="3">
        <v>426</v>
      </c>
      <c r="K322" s="10" cm="1">
        <f t="array" ref="K322">IF(ISBLANK(Table16[[#This Row],[Units Sold]]),AVERAGE(_xlfn._xlws.FILTER(Table16[Units Sold],NOT(ISBLANK(Table16[Units Sold])))),Table16[[#This Row],[Units Sold]])</f>
        <v>426</v>
      </c>
      <c r="L322" s="3">
        <v>481.02</v>
      </c>
      <c r="M322" s="11" cm="1">
        <f t="array" ref="M322">IF(ISBLANK(Table16[[#This Row],[Unit Price]]),AVERAGE(_xlfn._xlws.FILTER(Table16[Unit Price],NOT(ISBLANK(Table16[Unit Price])))),Table16[[#This Row],[Unit Price]])</f>
        <v>481.02</v>
      </c>
      <c r="N322" s="3">
        <v>371.99</v>
      </c>
      <c r="O322" s="11">
        <f>Table16[[#This Row],[Unit sold Filled]]*Table16[[#This Row],[Unit Price Filled]]</f>
        <v>204914.52</v>
      </c>
    </row>
    <row r="323" spans="1:15" x14ac:dyDescent="0.3">
      <c r="A323" s="1" t="s">
        <v>350</v>
      </c>
      <c r="B323" s="1" t="s">
        <v>22</v>
      </c>
      <c r="C323" s="3" t="str">
        <f t="shared" ref="C323:C351" si="11">IF(ISBLANK($B323), "West", $B323)</f>
        <v>North</v>
      </c>
      <c r="D323" s="1" t="s">
        <v>26</v>
      </c>
      <c r="E323" s="1" t="s">
        <v>27</v>
      </c>
      <c r="F323" s="3" t="str">
        <f t="shared" si="10"/>
        <v>Furniture</v>
      </c>
      <c r="G323" s="1" t="s">
        <v>24</v>
      </c>
      <c r="H323" s="1" t="s">
        <v>28</v>
      </c>
      <c r="I323" s="2">
        <v>45248</v>
      </c>
      <c r="J323" s="3">
        <v>86</v>
      </c>
      <c r="K323" s="10" cm="1">
        <f t="array" ref="K323">IF(ISBLANK(Table16[[#This Row],[Units Sold]]),AVERAGE(_xlfn._xlws.FILTER(Table16[Units Sold],NOT(ISBLANK(Table16[Units Sold])))),Table16[[#This Row],[Units Sold]])</f>
        <v>86</v>
      </c>
      <c r="L323" s="3">
        <v>319.31</v>
      </c>
      <c r="M323" s="11" cm="1">
        <f t="array" ref="M323">IF(ISBLANK(Table16[[#This Row],[Unit Price]]),AVERAGE(_xlfn._xlws.FILTER(Table16[Unit Price],NOT(ISBLANK(Table16[Unit Price])))),Table16[[#This Row],[Unit Price]])</f>
        <v>319.31</v>
      </c>
      <c r="N323" s="3">
        <v>313.47000000000003</v>
      </c>
      <c r="O323" s="11">
        <f>Table16[[#This Row],[Unit sold Filled]]*Table16[[#This Row],[Unit Price Filled]]</f>
        <v>27460.66</v>
      </c>
    </row>
    <row r="324" spans="1:15" x14ac:dyDescent="0.3">
      <c r="A324" s="1" t="s">
        <v>351</v>
      </c>
      <c r="B324" s="1" t="s">
        <v>17</v>
      </c>
      <c r="C324" s="3" t="str">
        <f t="shared" si="11"/>
        <v>West</v>
      </c>
      <c r="D324" s="1" t="s">
        <v>12</v>
      </c>
      <c r="E324" s="1" t="s">
        <v>19</v>
      </c>
      <c r="F324" s="3" t="str">
        <f t="shared" si="10"/>
        <v>Food</v>
      </c>
      <c r="G324" s="1" t="s">
        <v>24</v>
      </c>
      <c r="H324" s="1" t="s">
        <v>15</v>
      </c>
      <c r="I324" s="2">
        <v>45249</v>
      </c>
      <c r="J324" s="3">
        <v>125</v>
      </c>
      <c r="K324" s="10" cm="1">
        <f t="array" ref="K324">IF(ISBLANK(Table16[[#This Row],[Units Sold]]),AVERAGE(_xlfn._xlws.FILTER(Table16[Units Sold],NOT(ISBLANK(Table16[Units Sold])))),Table16[[#This Row],[Units Sold]])</f>
        <v>125</v>
      </c>
      <c r="L324" s="3">
        <v>378.64</v>
      </c>
      <c r="M324" s="11" cm="1">
        <f t="array" ref="M324">IF(ISBLANK(Table16[[#This Row],[Unit Price]]),AVERAGE(_xlfn._xlws.FILTER(Table16[Unit Price],NOT(ISBLANK(Table16[Unit Price])))),Table16[[#This Row],[Unit Price]])</f>
        <v>378.64</v>
      </c>
      <c r="N324" s="3">
        <v>24.34</v>
      </c>
      <c r="O324" s="11">
        <f>Table16[[#This Row],[Unit sold Filled]]*Table16[[#This Row],[Unit Price Filled]]</f>
        <v>47330</v>
      </c>
    </row>
    <row r="325" spans="1:15" x14ac:dyDescent="0.3">
      <c r="A325" s="1" t="s">
        <v>352</v>
      </c>
      <c r="B325" s="1" t="s">
        <v>48</v>
      </c>
      <c r="C325" s="3" t="str">
        <f t="shared" si="11"/>
        <v>South</v>
      </c>
      <c r="D325" s="1" t="s">
        <v>18</v>
      </c>
      <c r="E325" s="1"/>
      <c r="F325" s="3" t="str">
        <f t="shared" si="10"/>
        <v>Unknown</v>
      </c>
      <c r="G325" s="1" t="s">
        <v>14</v>
      </c>
      <c r="H325" s="1" t="s">
        <v>15</v>
      </c>
      <c r="I325" s="2">
        <v>45250</v>
      </c>
      <c r="J325" s="3">
        <v>163</v>
      </c>
      <c r="K325" s="10" cm="1">
        <f t="array" ref="K325">IF(ISBLANK(Table16[[#This Row],[Units Sold]]),AVERAGE(_xlfn._xlws.FILTER(Table16[Units Sold],NOT(ISBLANK(Table16[Units Sold])))),Table16[[#This Row],[Units Sold]])</f>
        <v>163</v>
      </c>
      <c r="L325" s="3">
        <v>89.39</v>
      </c>
      <c r="M325" s="11" cm="1">
        <f t="array" ref="M325">IF(ISBLANK(Table16[[#This Row],[Unit Price]]),AVERAGE(_xlfn._xlws.FILTER(Table16[Unit Price],NOT(ISBLANK(Table16[Unit Price])))),Table16[[#This Row],[Unit Price]])</f>
        <v>89.39</v>
      </c>
      <c r="N325" s="3">
        <v>341.39</v>
      </c>
      <c r="O325" s="11">
        <f>Table16[[#This Row],[Unit sold Filled]]*Table16[[#This Row],[Unit Price Filled]]</f>
        <v>14570.57</v>
      </c>
    </row>
    <row r="326" spans="1:15" x14ac:dyDescent="0.3">
      <c r="A326" s="1" t="s">
        <v>353</v>
      </c>
      <c r="B326" s="1" t="s">
        <v>48</v>
      </c>
      <c r="C326" s="3" t="str">
        <f t="shared" si="11"/>
        <v>South</v>
      </c>
      <c r="D326" s="1" t="s">
        <v>26</v>
      </c>
      <c r="E326" s="1" t="s">
        <v>13</v>
      </c>
      <c r="F326" s="3" t="str">
        <f t="shared" si="10"/>
        <v>Beverages</v>
      </c>
      <c r="G326" s="1" t="s">
        <v>24</v>
      </c>
      <c r="H326" s="1" t="s">
        <v>20</v>
      </c>
      <c r="I326" s="2">
        <v>45251</v>
      </c>
      <c r="J326" s="3">
        <v>415</v>
      </c>
      <c r="K326" s="10" cm="1">
        <f t="array" ref="K326">IF(ISBLANK(Table16[[#This Row],[Units Sold]]),AVERAGE(_xlfn._xlws.FILTER(Table16[Units Sold],NOT(ISBLANK(Table16[Units Sold])))),Table16[[#This Row],[Units Sold]])</f>
        <v>415</v>
      </c>
      <c r="L326" s="3">
        <v>207.69</v>
      </c>
      <c r="M326" s="11" cm="1">
        <f t="array" ref="M326">IF(ISBLANK(Table16[[#This Row],[Unit Price]]),AVERAGE(_xlfn._xlws.FILTER(Table16[Unit Price],NOT(ISBLANK(Table16[Unit Price])))),Table16[[#This Row],[Unit Price]])</f>
        <v>207.69</v>
      </c>
      <c r="N326" s="3">
        <v>91.77</v>
      </c>
      <c r="O326" s="11">
        <f>Table16[[#This Row],[Unit sold Filled]]*Table16[[#This Row],[Unit Price Filled]]</f>
        <v>86191.35</v>
      </c>
    </row>
    <row r="327" spans="1:15" x14ac:dyDescent="0.3">
      <c r="A327" s="1" t="s">
        <v>354</v>
      </c>
      <c r="B327" s="1" t="s">
        <v>48</v>
      </c>
      <c r="C327" s="3" t="str">
        <f t="shared" si="11"/>
        <v>South</v>
      </c>
      <c r="D327" s="1" t="s">
        <v>26</v>
      </c>
      <c r="E327" s="1" t="s">
        <v>27</v>
      </c>
      <c r="F327" s="3" t="str">
        <f t="shared" si="10"/>
        <v>Furniture</v>
      </c>
      <c r="G327" s="1" t="s">
        <v>24</v>
      </c>
      <c r="H327" s="1" t="s">
        <v>28</v>
      </c>
      <c r="I327" s="2">
        <v>45252</v>
      </c>
      <c r="J327" s="3">
        <v>112</v>
      </c>
      <c r="K327" s="10" cm="1">
        <f t="array" ref="K327">IF(ISBLANK(Table16[[#This Row],[Units Sold]]),AVERAGE(_xlfn._xlws.FILTER(Table16[Units Sold],NOT(ISBLANK(Table16[Units Sold])))),Table16[[#This Row],[Units Sold]])</f>
        <v>112</v>
      </c>
      <c r="L327" s="3">
        <v>214.23</v>
      </c>
      <c r="M327" s="11" cm="1">
        <f t="array" ref="M327">IF(ISBLANK(Table16[[#This Row],[Unit Price]]),AVERAGE(_xlfn._xlws.FILTER(Table16[Unit Price],NOT(ISBLANK(Table16[Unit Price])))),Table16[[#This Row],[Unit Price]])</f>
        <v>214.23</v>
      </c>
      <c r="N327" s="3">
        <v>152.01</v>
      </c>
      <c r="O327" s="11">
        <f>Table16[[#This Row],[Unit sold Filled]]*Table16[[#This Row],[Unit Price Filled]]</f>
        <v>23993.759999999998</v>
      </c>
    </row>
    <row r="328" spans="1:15" x14ac:dyDescent="0.3">
      <c r="A328" s="1" t="s">
        <v>355</v>
      </c>
      <c r="B328" s="1" t="s">
        <v>11</v>
      </c>
      <c r="C328" s="3" t="str">
        <f t="shared" si="11"/>
        <v>East</v>
      </c>
      <c r="D328" s="1" t="s">
        <v>12</v>
      </c>
      <c r="E328" s="1" t="s">
        <v>19</v>
      </c>
      <c r="F328" s="3" t="str">
        <f t="shared" si="10"/>
        <v>Food</v>
      </c>
      <c r="G328" s="1" t="s">
        <v>24</v>
      </c>
      <c r="H328" s="1" t="s">
        <v>20</v>
      </c>
      <c r="I328" s="2">
        <v>45253</v>
      </c>
      <c r="J328" s="3">
        <v>203</v>
      </c>
      <c r="K328" s="10" cm="1">
        <f t="array" ref="K328">IF(ISBLANK(Table16[[#This Row],[Units Sold]]),AVERAGE(_xlfn._xlws.FILTER(Table16[Units Sold],NOT(ISBLANK(Table16[Units Sold])))),Table16[[#This Row],[Units Sold]])</f>
        <v>203</v>
      </c>
      <c r="L328" s="3">
        <v>411.79</v>
      </c>
      <c r="M328" s="11" cm="1">
        <f t="array" ref="M328">IF(ISBLANK(Table16[[#This Row],[Unit Price]]),AVERAGE(_xlfn._xlws.FILTER(Table16[Unit Price],NOT(ISBLANK(Table16[Unit Price])))),Table16[[#This Row],[Unit Price]])</f>
        <v>411.79</v>
      </c>
      <c r="N328" s="3">
        <v>185.77</v>
      </c>
      <c r="O328" s="11">
        <f>Table16[[#This Row],[Unit sold Filled]]*Table16[[#This Row],[Unit Price Filled]]</f>
        <v>83593.37000000001</v>
      </c>
    </row>
    <row r="329" spans="1:15" x14ac:dyDescent="0.3">
      <c r="A329" s="1" t="s">
        <v>356</v>
      </c>
      <c r="B329" s="1" t="s">
        <v>11</v>
      </c>
      <c r="C329" s="3" t="str">
        <f t="shared" si="11"/>
        <v>East</v>
      </c>
      <c r="D329" s="1" t="s">
        <v>18</v>
      </c>
      <c r="E329" s="1" t="s">
        <v>42</v>
      </c>
      <c r="F329" s="3" t="str">
        <f t="shared" si="10"/>
        <v>Electronics</v>
      </c>
      <c r="G329" s="1" t="s">
        <v>24</v>
      </c>
      <c r="H329" s="1" t="s">
        <v>28</v>
      </c>
      <c r="I329" s="2">
        <v>45254</v>
      </c>
      <c r="J329" s="1"/>
      <c r="K329" s="10" cm="1">
        <f t="array" ref="K329">IF(ISBLANK(Table16[[#This Row],[Units Sold]]),AVERAGE(_xlfn._xlws.FILTER(Table16[Units Sold],NOT(ISBLANK(Table16[Units Sold])))),Table16[[#This Row],[Units Sold]])</f>
        <v>255.90294117647059</v>
      </c>
      <c r="L329" s="3">
        <v>5.61</v>
      </c>
      <c r="M329" s="11" cm="1">
        <f t="array" ref="M329">IF(ISBLANK(Table16[[#This Row],[Unit Price]]),AVERAGE(_xlfn._xlws.FILTER(Table16[Unit Price],NOT(ISBLANK(Table16[Unit Price])))),Table16[[#This Row],[Unit Price]])</f>
        <v>5.61</v>
      </c>
      <c r="N329" s="3">
        <v>193.4</v>
      </c>
      <c r="O329" s="11">
        <f>Table16[[#This Row],[Unit sold Filled]]*Table16[[#This Row],[Unit Price Filled]]</f>
        <v>1435.6155000000001</v>
      </c>
    </row>
    <row r="330" spans="1:15" x14ac:dyDescent="0.3">
      <c r="A330" s="1" t="s">
        <v>357</v>
      </c>
      <c r="B330" s="1" t="s">
        <v>17</v>
      </c>
      <c r="C330" s="3" t="str">
        <f t="shared" si="11"/>
        <v>West</v>
      </c>
      <c r="D330" s="1" t="s">
        <v>50</v>
      </c>
      <c r="E330" s="1" t="s">
        <v>13</v>
      </c>
      <c r="F330" s="3" t="str">
        <f t="shared" si="10"/>
        <v>Beverages</v>
      </c>
      <c r="G330" s="1" t="s">
        <v>24</v>
      </c>
      <c r="H330" s="1" t="s">
        <v>28</v>
      </c>
      <c r="I330" s="2">
        <v>45255</v>
      </c>
      <c r="J330" s="3">
        <v>368</v>
      </c>
      <c r="K330" s="10" cm="1">
        <f t="array" ref="K330">IF(ISBLANK(Table16[[#This Row],[Units Sold]]),AVERAGE(_xlfn._xlws.FILTER(Table16[Units Sold],NOT(ISBLANK(Table16[Units Sold])))),Table16[[#This Row],[Units Sold]])</f>
        <v>368</v>
      </c>
      <c r="L330" s="3">
        <v>153.91999999999999</v>
      </c>
      <c r="M330" s="11" cm="1">
        <f t="array" ref="M330">IF(ISBLANK(Table16[[#This Row],[Unit Price]]),AVERAGE(_xlfn._xlws.FILTER(Table16[Unit Price],NOT(ISBLANK(Table16[Unit Price])))),Table16[[#This Row],[Unit Price]])</f>
        <v>153.91999999999999</v>
      </c>
      <c r="N330" s="3">
        <v>175.2</v>
      </c>
      <c r="O330" s="11">
        <f>Table16[[#This Row],[Unit sold Filled]]*Table16[[#This Row],[Unit Price Filled]]</f>
        <v>56642.559999999998</v>
      </c>
    </row>
    <row r="331" spans="1:15" x14ac:dyDescent="0.3">
      <c r="A331" s="1" t="s">
        <v>358</v>
      </c>
      <c r="B331" s="1" t="s">
        <v>17</v>
      </c>
      <c r="C331" s="3" t="str">
        <f t="shared" si="11"/>
        <v>West</v>
      </c>
      <c r="D331" s="1" t="s">
        <v>50</v>
      </c>
      <c r="E331" s="1" t="s">
        <v>42</v>
      </c>
      <c r="F331" s="3" t="str">
        <f t="shared" si="10"/>
        <v>Electronics</v>
      </c>
      <c r="G331" s="1" t="s">
        <v>24</v>
      </c>
      <c r="H331" s="1" t="s">
        <v>28</v>
      </c>
      <c r="I331" s="2">
        <v>45256</v>
      </c>
      <c r="J331" s="3">
        <v>99</v>
      </c>
      <c r="K331" s="10" cm="1">
        <f t="array" ref="K331">IF(ISBLANK(Table16[[#This Row],[Units Sold]]),AVERAGE(_xlfn._xlws.FILTER(Table16[Units Sold],NOT(ISBLANK(Table16[Units Sold])))),Table16[[#This Row],[Units Sold]])</f>
        <v>99</v>
      </c>
      <c r="L331" s="3">
        <v>490.71</v>
      </c>
      <c r="M331" s="11" cm="1">
        <f t="array" ref="M331">IF(ISBLANK(Table16[[#This Row],[Unit Price]]),AVERAGE(_xlfn._xlws.FILTER(Table16[Unit Price],NOT(ISBLANK(Table16[Unit Price])))),Table16[[#This Row],[Unit Price]])</f>
        <v>490.71</v>
      </c>
      <c r="N331" s="3">
        <v>375.07</v>
      </c>
      <c r="O331" s="11">
        <f>Table16[[#This Row],[Unit sold Filled]]*Table16[[#This Row],[Unit Price Filled]]</f>
        <v>48580.29</v>
      </c>
    </row>
    <row r="332" spans="1:15" x14ac:dyDescent="0.3">
      <c r="A332" s="1" t="s">
        <v>359</v>
      </c>
      <c r="B332" s="1" t="s">
        <v>22</v>
      </c>
      <c r="C332" s="3" t="str">
        <f t="shared" si="11"/>
        <v>North</v>
      </c>
      <c r="D332" s="1" t="s">
        <v>26</v>
      </c>
      <c r="E332" s="1" t="s">
        <v>42</v>
      </c>
      <c r="F332" s="3" t="str">
        <f t="shared" si="10"/>
        <v>Electronics</v>
      </c>
      <c r="G332" s="1" t="s">
        <v>14</v>
      </c>
      <c r="H332" s="1" t="s">
        <v>15</v>
      </c>
      <c r="I332" s="2">
        <v>45257</v>
      </c>
      <c r="J332" s="3">
        <v>183</v>
      </c>
      <c r="K332" s="10" cm="1">
        <f t="array" ref="K332">IF(ISBLANK(Table16[[#This Row],[Units Sold]]),AVERAGE(_xlfn._xlws.FILTER(Table16[Units Sold],NOT(ISBLANK(Table16[Units Sold])))),Table16[[#This Row],[Units Sold]])</f>
        <v>183</v>
      </c>
      <c r="L332" s="3">
        <v>240.07</v>
      </c>
      <c r="M332" s="11" cm="1">
        <f t="array" ref="M332">IF(ISBLANK(Table16[[#This Row],[Unit Price]]),AVERAGE(_xlfn._xlws.FILTER(Table16[Unit Price],NOT(ISBLANK(Table16[Unit Price])))),Table16[[#This Row],[Unit Price]])</f>
        <v>240.07</v>
      </c>
      <c r="N332" s="3">
        <v>283</v>
      </c>
      <c r="O332" s="11">
        <f>Table16[[#This Row],[Unit sold Filled]]*Table16[[#This Row],[Unit Price Filled]]</f>
        <v>43932.81</v>
      </c>
    </row>
    <row r="333" spans="1:15" x14ac:dyDescent="0.3">
      <c r="A333" s="1" t="s">
        <v>360</v>
      </c>
      <c r="B333" s="1"/>
      <c r="C333" s="3" t="str">
        <f t="shared" si="11"/>
        <v>West</v>
      </c>
      <c r="D333" s="1" t="s">
        <v>18</v>
      </c>
      <c r="E333" s="1" t="s">
        <v>42</v>
      </c>
      <c r="F333" s="3" t="str">
        <f t="shared" si="10"/>
        <v>Electronics</v>
      </c>
      <c r="G333" s="1" t="s">
        <v>24</v>
      </c>
      <c r="H333" s="1" t="s">
        <v>20</v>
      </c>
      <c r="I333" s="2">
        <v>45258</v>
      </c>
      <c r="J333" s="3">
        <v>131</v>
      </c>
      <c r="K333" s="10" cm="1">
        <f t="array" ref="K333">IF(ISBLANK(Table16[[#This Row],[Units Sold]]),AVERAGE(_xlfn._xlws.FILTER(Table16[Units Sold],NOT(ISBLANK(Table16[Units Sold])))),Table16[[#This Row],[Units Sold]])</f>
        <v>131</v>
      </c>
      <c r="L333" s="3">
        <v>194.35</v>
      </c>
      <c r="M333" s="11" cm="1">
        <f t="array" ref="M333">IF(ISBLANK(Table16[[#This Row],[Unit Price]]),AVERAGE(_xlfn._xlws.FILTER(Table16[Unit Price],NOT(ISBLANK(Table16[Unit Price])))),Table16[[#This Row],[Unit Price]])</f>
        <v>194.35</v>
      </c>
      <c r="N333" s="3">
        <v>253.21</v>
      </c>
      <c r="O333" s="11">
        <f>Table16[[#This Row],[Unit sold Filled]]*Table16[[#This Row],[Unit Price Filled]]</f>
        <v>25459.85</v>
      </c>
    </row>
    <row r="334" spans="1:15" x14ac:dyDescent="0.3">
      <c r="A334" s="1" t="s">
        <v>361</v>
      </c>
      <c r="B334" s="1" t="s">
        <v>17</v>
      </c>
      <c r="C334" s="3" t="str">
        <f t="shared" si="11"/>
        <v>West</v>
      </c>
      <c r="D334" s="1" t="s">
        <v>26</v>
      </c>
      <c r="E334" s="1" t="s">
        <v>23</v>
      </c>
      <c r="F334" s="3" t="str">
        <f t="shared" si="10"/>
        <v>Clothing</v>
      </c>
      <c r="G334" s="1" t="s">
        <v>24</v>
      </c>
      <c r="H334" s="1" t="s">
        <v>20</v>
      </c>
      <c r="I334" s="2">
        <v>45259</v>
      </c>
      <c r="J334" s="3">
        <v>152</v>
      </c>
      <c r="K334" s="10" cm="1">
        <f t="array" ref="K334">IF(ISBLANK(Table16[[#This Row],[Units Sold]]),AVERAGE(_xlfn._xlws.FILTER(Table16[Units Sold],NOT(ISBLANK(Table16[Units Sold])))),Table16[[#This Row],[Units Sold]])</f>
        <v>152</v>
      </c>
      <c r="L334" s="3">
        <v>64.319999999999993</v>
      </c>
      <c r="M334" s="11" cm="1">
        <f t="array" ref="M334">IF(ISBLANK(Table16[[#This Row],[Unit Price]]),AVERAGE(_xlfn._xlws.FILTER(Table16[Unit Price],NOT(ISBLANK(Table16[Unit Price])))),Table16[[#This Row],[Unit Price]])</f>
        <v>64.319999999999993</v>
      </c>
      <c r="N334" s="3">
        <v>21.84</v>
      </c>
      <c r="O334" s="11">
        <f>Table16[[#This Row],[Unit sold Filled]]*Table16[[#This Row],[Unit Price Filled]]</f>
        <v>9776.64</v>
      </c>
    </row>
    <row r="335" spans="1:15" x14ac:dyDescent="0.3">
      <c r="A335" s="1" t="s">
        <v>362</v>
      </c>
      <c r="B335" s="1" t="s">
        <v>11</v>
      </c>
      <c r="C335" s="3" t="str">
        <f t="shared" si="11"/>
        <v>East</v>
      </c>
      <c r="D335" s="1" t="s">
        <v>31</v>
      </c>
      <c r="E335" s="1" t="s">
        <v>23</v>
      </c>
      <c r="F335" s="3" t="str">
        <f t="shared" si="10"/>
        <v>Clothing</v>
      </c>
      <c r="G335" s="1" t="s">
        <v>24</v>
      </c>
      <c r="H335" s="1" t="s">
        <v>28</v>
      </c>
      <c r="I335" s="2">
        <v>45260</v>
      </c>
      <c r="J335" s="3">
        <v>491</v>
      </c>
      <c r="K335" s="10" cm="1">
        <f t="array" ref="K335">IF(ISBLANK(Table16[[#This Row],[Units Sold]]),AVERAGE(_xlfn._xlws.FILTER(Table16[Units Sold],NOT(ISBLANK(Table16[Units Sold])))),Table16[[#This Row],[Units Sold]])</f>
        <v>491</v>
      </c>
      <c r="L335" s="3">
        <v>487.21</v>
      </c>
      <c r="M335" s="11" cm="1">
        <f t="array" ref="M335">IF(ISBLANK(Table16[[#This Row],[Unit Price]]),AVERAGE(_xlfn._xlws.FILTER(Table16[Unit Price],NOT(ISBLANK(Table16[Unit Price])))),Table16[[#This Row],[Unit Price]])</f>
        <v>487.21</v>
      </c>
      <c r="N335" s="3">
        <v>361.76</v>
      </c>
      <c r="O335" s="11">
        <f>Table16[[#This Row],[Unit sold Filled]]*Table16[[#This Row],[Unit Price Filled]]</f>
        <v>239220.11</v>
      </c>
    </row>
    <row r="336" spans="1:15" x14ac:dyDescent="0.3">
      <c r="A336" s="1" t="s">
        <v>363</v>
      </c>
      <c r="B336" s="1" t="s">
        <v>48</v>
      </c>
      <c r="C336" s="3" t="str">
        <f t="shared" si="11"/>
        <v>South</v>
      </c>
      <c r="D336" s="1" t="s">
        <v>26</v>
      </c>
      <c r="E336" s="1" t="s">
        <v>42</v>
      </c>
      <c r="F336" s="3" t="str">
        <f t="shared" si="10"/>
        <v>Electronics</v>
      </c>
      <c r="G336" s="1" t="s">
        <v>14</v>
      </c>
      <c r="H336" s="1" t="s">
        <v>15</v>
      </c>
      <c r="I336" s="2">
        <v>45261</v>
      </c>
      <c r="J336" s="3">
        <v>115</v>
      </c>
      <c r="K336" s="10" cm="1">
        <f t="array" ref="K336">IF(ISBLANK(Table16[[#This Row],[Units Sold]]),AVERAGE(_xlfn._xlws.FILTER(Table16[Units Sold],NOT(ISBLANK(Table16[Units Sold])))),Table16[[#This Row],[Units Sold]])</f>
        <v>115</v>
      </c>
      <c r="L336" s="3">
        <v>14.91</v>
      </c>
      <c r="M336" s="11" cm="1">
        <f t="array" ref="M336">IF(ISBLANK(Table16[[#This Row],[Unit Price]]),AVERAGE(_xlfn._xlws.FILTER(Table16[Unit Price],NOT(ISBLANK(Table16[Unit Price])))),Table16[[#This Row],[Unit Price]])</f>
        <v>14.91</v>
      </c>
      <c r="N336" s="3">
        <v>363.94</v>
      </c>
      <c r="O336" s="11">
        <f>Table16[[#This Row],[Unit sold Filled]]*Table16[[#This Row],[Unit Price Filled]]</f>
        <v>1714.65</v>
      </c>
    </row>
    <row r="337" spans="1:15" x14ac:dyDescent="0.3">
      <c r="A337" s="1" t="s">
        <v>364</v>
      </c>
      <c r="B337" s="1" t="s">
        <v>17</v>
      </c>
      <c r="C337" s="3" t="str">
        <f t="shared" si="11"/>
        <v>West</v>
      </c>
      <c r="D337" s="1" t="s">
        <v>26</v>
      </c>
      <c r="E337" s="1" t="s">
        <v>13</v>
      </c>
      <c r="F337" s="3" t="str">
        <f t="shared" si="10"/>
        <v>Beverages</v>
      </c>
      <c r="G337" s="1" t="s">
        <v>24</v>
      </c>
      <c r="H337" s="1" t="s">
        <v>15</v>
      </c>
      <c r="I337" s="2">
        <v>45262</v>
      </c>
      <c r="J337" s="3">
        <v>384</v>
      </c>
      <c r="K337" s="10" cm="1">
        <f t="array" ref="K337">IF(ISBLANK(Table16[[#This Row],[Units Sold]]),AVERAGE(_xlfn._xlws.FILTER(Table16[Units Sold],NOT(ISBLANK(Table16[Units Sold])))),Table16[[#This Row],[Units Sold]])</f>
        <v>384</v>
      </c>
      <c r="L337" s="3">
        <v>369.9</v>
      </c>
      <c r="M337" s="11" cm="1">
        <f t="array" ref="M337">IF(ISBLANK(Table16[[#This Row],[Unit Price]]),AVERAGE(_xlfn._xlws.FILTER(Table16[Unit Price],NOT(ISBLANK(Table16[Unit Price])))),Table16[[#This Row],[Unit Price]])</f>
        <v>369.9</v>
      </c>
      <c r="N337" s="3">
        <v>312.52</v>
      </c>
      <c r="O337" s="11">
        <f>Table16[[#This Row],[Unit sold Filled]]*Table16[[#This Row],[Unit Price Filled]]</f>
        <v>142041.59999999998</v>
      </c>
    </row>
    <row r="338" spans="1:15" x14ac:dyDescent="0.3">
      <c r="A338" s="1" t="s">
        <v>365</v>
      </c>
      <c r="B338" s="1" t="s">
        <v>22</v>
      </c>
      <c r="C338" s="3" t="str">
        <f t="shared" si="11"/>
        <v>North</v>
      </c>
      <c r="D338" s="1" t="s">
        <v>50</v>
      </c>
      <c r="E338" s="1" t="s">
        <v>19</v>
      </c>
      <c r="F338" s="3" t="str">
        <f t="shared" si="10"/>
        <v>Food</v>
      </c>
      <c r="G338" s="1" t="s">
        <v>14</v>
      </c>
      <c r="H338" s="1" t="s">
        <v>20</v>
      </c>
      <c r="I338" s="2">
        <v>45263</v>
      </c>
      <c r="J338" s="3">
        <v>437</v>
      </c>
      <c r="K338" s="10" cm="1">
        <f t="array" ref="K338">IF(ISBLANK(Table16[[#This Row],[Units Sold]]),AVERAGE(_xlfn._xlws.FILTER(Table16[Units Sold],NOT(ISBLANK(Table16[Units Sold])))),Table16[[#This Row],[Units Sold]])</f>
        <v>437</v>
      </c>
      <c r="L338" s="3">
        <v>385.46</v>
      </c>
      <c r="M338" s="11" cm="1">
        <f t="array" ref="M338">IF(ISBLANK(Table16[[#This Row],[Unit Price]]),AVERAGE(_xlfn._xlws.FILTER(Table16[Unit Price],NOT(ISBLANK(Table16[Unit Price])))),Table16[[#This Row],[Unit Price]])</f>
        <v>385.46</v>
      </c>
      <c r="N338" s="3">
        <v>4.8</v>
      </c>
      <c r="O338" s="11">
        <f>Table16[[#This Row],[Unit sold Filled]]*Table16[[#This Row],[Unit Price Filled]]</f>
        <v>168446.02</v>
      </c>
    </row>
    <row r="339" spans="1:15" x14ac:dyDescent="0.3">
      <c r="A339" s="1" t="s">
        <v>366</v>
      </c>
      <c r="B339" s="1" t="s">
        <v>11</v>
      </c>
      <c r="C339" s="3" t="str">
        <f t="shared" si="11"/>
        <v>East</v>
      </c>
      <c r="D339" s="1" t="s">
        <v>50</v>
      </c>
      <c r="E339" s="1" t="s">
        <v>19</v>
      </c>
      <c r="F339" s="3" t="str">
        <f t="shared" si="10"/>
        <v>Food</v>
      </c>
      <c r="G339" s="1" t="s">
        <v>24</v>
      </c>
      <c r="H339" s="1" t="s">
        <v>15</v>
      </c>
      <c r="I339" s="2">
        <v>45264</v>
      </c>
      <c r="J339" s="3">
        <v>314</v>
      </c>
      <c r="K339" s="10" cm="1">
        <f t="array" ref="K339">IF(ISBLANK(Table16[[#This Row],[Units Sold]]),AVERAGE(_xlfn._xlws.FILTER(Table16[Units Sold],NOT(ISBLANK(Table16[Units Sold])))),Table16[[#This Row],[Units Sold]])</f>
        <v>314</v>
      </c>
      <c r="L339" s="3">
        <v>125.61</v>
      </c>
      <c r="M339" s="11" cm="1">
        <f t="array" ref="M339">IF(ISBLANK(Table16[[#This Row],[Unit Price]]),AVERAGE(_xlfn._xlws.FILTER(Table16[Unit Price],NOT(ISBLANK(Table16[Unit Price])))),Table16[[#This Row],[Unit Price]])</f>
        <v>125.61</v>
      </c>
      <c r="N339" s="3">
        <v>24.8</v>
      </c>
      <c r="O339" s="11">
        <f>Table16[[#This Row],[Unit sold Filled]]*Table16[[#This Row],[Unit Price Filled]]</f>
        <v>39441.54</v>
      </c>
    </row>
    <row r="340" spans="1:15" x14ac:dyDescent="0.3">
      <c r="A340" s="1" t="s">
        <v>367</v>
      </c>
      <c r="B340" s="1" t="s">
        <v>17</v>
      </c>
      <c r="C340" s="3" t="str">
        <f t="shared" si="11"/>
        <v>West</v>
      </c>
      <c r="D340" s="1" t="s">
        <v>50</v>
      </c>
      <c r="E340" s="1" t="s">
        <v>27</v>
      </c>
      <c r="F340" s="3" t="str">
        <f t="shared" si="10"/>
        <v>Furniture</v>
      </c>
      <c r="G340" s="1" t="s">
        <v>14</v>
      </c>
      <c r="H340" s="1" t="s">
        <v>15</v>
      </c>
      <c r="I340" s="2">
        <v>45265</v>
      </c>
      <c r="J340" s="3">
        <v>369</v>
      </c>
      <c r="K340" s="10" cm="1">
        <f t="array" ref="K340">IF(ISBLANK(Table16[[#This Row],[Units Sold]]),AVERAGE(_xlfn._xlws.FILTER(Table16[Units Sold],NOT(ISBLANK(Table16[Units Sold])))),Table16[[#This Row],[Units Sold]])</f>
        <v>369</v>
      </c>
      <c r="L340" s="3">
        <v>337.42</v>
      </c>
      <c r="M340" s="11" cm="1">
        <f t="array" ref="M340">IF(ISBLANK(Table16[[#This Row],[Unit Price]]),AVERAGE(_xlfn._xlws.FILTER(Table16[Unit Price],NOT(ISBLANK(Table16[Unit Price])))),Table16[[#This Row],[Unit Price]])</f>
        <v>337.42</v>
      </c>
      <c r="N340" s="3">
        <v>91.64</v>
      </c>
      <c r="O340" s="11">
        <f>Table16[[#This Row],[Unit sold Filled]]*Table16[[#This Row],[Unit Price Filled]]</f>
        <v>124507.98000000001</v>
      </c>
    </row>
    <row r="341" spans="1:15" x14ac:dyDescent="0.3">
      <c r="A341" s="1" t="s">
        <v>368</v>
      </c>
      <c r="B341" s="1" t="s">
        <v>17</v>
      </c>
      <c r="C341" s="3" t="str">
        <f t="shared" si="11"/>
        <v>West</v>
      </c>
      <c r="D341" s="1" t="s">
        <v>31</v>
      </c>
      <c r="E341" s="1" t="s">
        <v>13</v>
      </c>
      <c r="F341" s="3" t="str">
        <f t="shared" si="10"/>
        <v>Beverages</v>
      </c>
      <c r="G341" s="1" t="s">
        <v>14</v>
      </c>
      <c r="H341" s="1" t="s">
        <v>28</v>
      </c>
      <c r="I341" s="2">
        <v>45266</v>
      </c>
      <c r="J341" s="3">
        <v>468</v>
      </c>
      <c r="K341" s="10" cm="1">
        <f t="array" ref="K341">IF(ISBLANK(Table16[[#This Row],[Units Sold]]),AVERAGE(_xlfn._xlws.FILTER(Table16[Units Sold],NOT(ISBLANK(Table16[Units Sold])))),Table16[[#This Row],[Units Sold]])</f>
        <v>468</v>
      </c>
      <c r="L341" s="3">
        <v>51</v>
      </c>
      <c r="M341" s="11" cm="1">
        <f t="array" ref="M341">IF(ISBLANK(Table16[[#This Row],[Unit Price]]),AVERAGE(_xlfn._xlws.FILTER(Table16[Unit Price],NOT(ISBLANK(Table16[Unit Price])))),Table16[[#This Row],[Unit Price]])</f>
        <v>51</v>
      </c>
      <c r="N341" s="3">
        <v>54.28</v>
      </c>
      <c r="O341" s="11">
        <f>Table16[[#This Row],[Unit sold Filled]]*Table16[[#This Row],[Unit Price Filled]]</f>
        <v>23868</v>
      </c>
    </row>
    <row r="342" spans="1:15" x14ac:dyDescent="0.3">
      <c r="A342" s="1" t="s">
        <v>369</v>
      </c>
      <c r="B342" s="1" t="s">
        <v>11</v>
      </c>
      <c r="C342" s="3" t="str">
        <f t="shared" si="11"/>
        <v>East</v>
      </c>
      <c r="D342" s="1" t="s">
        <v>50</v>
      </c>
      <c r="E342" s="1" t="s">
        <v>23</v>
      </c>
      <c r="F342" s="3" t="str">
        <f t="shared" si="10"/>
        <v>Clothing</v>
      </c>
      <c r="G342" s="1" t="s">
        <v>24</v>
      </c>
      <c r="H342" s="1" t="s">
        <v>15</v>
      </c>
      <c r="I342" s="2">
        <v>45267</v>
      </c>
      <c r="J342" s="3">
        <v>326</v>
      </c>
      <c r="K342" s="10" cm="1">
        <f t="array" ref="K342">IF(ISBLANK(Table16[[#This Row],[Units Sold]]),AVERAGE(_xlfn._xlws.FILTER(Table16[Units Sold],NOT(ISBLANK(Table16[Units Sold])))),Table16[[#This Row],[Units Sold]])</f>
        <v>326</v>
      </c>
      <c r="L342" s="3">
        <v>132.24</v>
      </c>
      <c r="M342" s="11" cm="1">
        <f t="array" ref="M342">IF(ISBLANK(Table16[[#This Row],[Unit Price]]),AVERAGE(_xlfn._xlws.FILTER(Table16[Unit Price],NOT(ISBLANK(Table16[Unit Price])))),Table16[[#This Row],[Unit Price]])</f>
        <v>132.24</v>
      </c>
      <c r="N342" s="3">
        <v>160.74</v>
      </c>
      <c r="O342" s="11">
        <f>Table16[[#This Row],[Unit sold Filled]]*Table16[[#This Row],[Unit Price Filled]]</f>
        <v>43110.240000000005</v>
      </c>
    </row>
    <row r="343" spans="1:15" x14ac:dyDescent="0.3">
      <c r="A343" s="1" t="s">
        <v>370</v>
      </c>
      <c r="B343" s="1" t="s">
        <v>17</v>
      </c>
      <c r="C343" s="3" t="str">
        <f t="shared" si="11"/>
        <v>West</v>
      </c>
      <c r="D343" s="1" t="s">
        <v>18</v>
      </c>
      <c r="E343" s="1" t="s">
        <v>42</v>
      </c>
      <c r="F343" s="3" t="str">
        <f t="shared" si="10"/>
        <v>Electronics</v>
      </c>
      <c r="G343" s="1" t="s">
        <v>24</v>
      </c>
      <c r="H343" s="1" t="s">
        <v>28</v>
      </c>
      <c r="I343" s="2">
        <v>45268</v>
      </c>
      <c r="J343" s="3">
        <v>460</v>
      </c>
      <c r="K343" s="10" cm="1">
        <f t="array" ref="K343">IF(ISBLANK(Table16[[#This Row],[Units Sold]]),AVERAGE(_xlfn._xlws.FILTER(Table16[Units Sold],NOT(ISBLANK(Table16[Units Sold])))),Table16[[#This Row],[Units Sold]])</f>
        <v>460</v>
      </c>
      <c r="L343" s="3">
        <v>395.01</v>
      </c>
      <c r="M343" s="11" cm="1">
        <f t="array" ref="M343">IF(ISBLANK(Table16[[#This Row],[Unit Price]]),AVERAGE(_xlfn._xlws.FILTER(Table16[Unit Price],NOT(ISBLANK(Table16[Unit Price])))),Table16[[#This Row],[Unit Price]])</f>
        <v>395.01</v>
      </c>
      <c r="N343" s="3">
        <v>369.2</v>
      </c>
      <c r="O343" s="11">
        <f>Table16[[#This Row],[Unit sold Filled]]*Table16[[#This Row],[Unit Price Filled]]</f>
        <v>181704.6</v>
      </c>
    </row>
    <row r="344" spans="1:15" x14ac:dyDescent="0.3">
      <c r="A344" s="1" t="s">
        <v>371</v>
      </c>
      <c r="B344" s="1" t="s">
        <v>11</v>
      </c>
      <c r="C344" s="3" t="str">
        <f t="shared" si="11"/>
        <v>East</v>
      </c>
      <c r="D344" s="1" t="s">
        <v>12</v>
      </c>
      <c r="E344" s="1" t="s">
        <v>27</v>
      </c>
      <c r="F344" s="3" t="str">
        <f t="shared" si="10"/>
        <v>Furniture</v>
      </c>
      <c r="G344" s="1" t="s">
        <v>14</v>
      </c>
      <c r="H344" s="1" t="s">
        <v>20</v>
      </c>
      <c r="I344" s="2">
        <v>45269</v>
      </c>
      <c r="J344" s="3">
        <v>132</v>
      </c>
      <c r="K344" s="10" cm="1">
        <f t="array" ref="K344">IF(ISBLANK(Table16[[#This Row],[Units Sold]]),AVERAGE(_xlfn._xlws.FILTER(Table16[Units Sold],NOT(ISBLANK(Table16[Units Sold])))),Table16[[#This Row],[Units Sold]])</f>
        <v>132</v>
      </c>
      <c r="L344" s="3">
        <v>433.02</v>
      </c>
      <c r="M344" s="11" cm="1">
        <f t="array" ref="M344">IF(ISBLANK(Table16[[#This Row],[Unit Price]]),AVERAGE(_xlfn._xlws.FILTER(Table16[Unit Price],NOT(ISBLANK(Table16[Unit Price])))),Table16[[#This Row],[Unit Price]])</f>
        <v>433.02</v>
      </c>
      <c r="N344" s="3">
        <v>189.88</v>
      </c>
      <c r="O344" s="11">
        <f>Table16[[#This Row],[Unit sold Filled]]*Table16[[#This Row],[Unit Price Filled]]</f>
        <v>57158.64</v>
      </c>
    </row>
    <row r="345" spans="1:15" x14ac:dyDescent="0.3">
      <c r="A345" s="1" t="s">
        <v>372</v>
      </c>
      <c r="B345" s="1" t="s">
        <v>48</v>
      </c>
      <c r="C345" s="3" t="str">
        <f t="shared" si="11"/>
        <v>South</v>
      </c>
      <c r="D345" s="1" t="s">
        <v>18</v>
      </c>
      <c r="E345" s="1" t="s">
        <v>19</v>
      </c>
      <c r="F345" s="3" t="str">
        <f t="shared" si="10"/>
        <v>Food</v>
      </c>
      <c r="G345" s="1" t="s">
        <v>24</v>
      </c>
      <c r="H345" s="1" t="s">
        <v>15</v>
      </c>
      <c r="I345" s="2">
        <v>45270</v>
      </c>
      <c r="J345" s="3">
        <v>399</v>
      </c>
      <c r="K345" s="10" cm="1">
        <f t="array" ref="K345">IF(ISBLANK(Table16[[#This Row],[Units Sold]]),AVERAGE(_xlfn._xlws.FILTER(Table16[Units Sold],NOT(ISBLANK(Table16[Units Sold])))),Table16[[#This Row],[Units Sold]])</f>
        <v>399</v>
      </c>
      <c r="L345" s="3">
        <v>306.2</v>
      </c>
      <c r="M345" s="11" cm="1">
        <f t="array" ref="M345">IF(ISBLANK(Table16[[#This Row],[Unit Price]]),AVERAGE(_xlfn._xlws.FILTER(Table16[Unit Price],NOT(ISBLANK(Table16[Unit Price])))),Table16[[#This Row],[Unit Price]])</f>
        <v>306.2</v>
      </c>
      <c r="N345" s="3">
        <v>7.33</v>
      </c>
      <c r="O345" s="11">
        <f>Table16[[#This Row],[Unit sold Filled]]*Table16[[#This Row],[Unit Price Filled]]</f>
        <v>122173.79999999999</v>
      </c>
    </row>
    <row r="346" spans="1:15" x14ac:dyDescent="0.3">
      <c r="A346" s="1" t="s">
        <v>373</v>
      </c>
      <c r="B346" s="1" t="s">
        <v>11</v>
      </c>
      <c r="C346" s="3" t="str">
        <f t="shared" si="11"/>
        <v>East</v>
      </c>
      <c r="D346" s="1" t="s">
        <v>18</v>
      </c>
      <c r="E346" s="1" t="s">
        <v>23</v>
      </c>
      <c r="F346" s="3" t="str">
        <f t="shared" si="10"/>
        <v>Clothing</v>
      </c>
      <c r="G346" s="1" t="s">
        <v>14</v>
      </c>
      <c r="H346" s="1" t="s">
        <v>20</v>
      </c>
      <c r="I346" s="2">
        <v>45271</v>
      </c>
      <c r="J346" s="3">
        <v>18</v>
      </c>
      <c r="K346" s="10" cm="1">
        <f t="array" ref="K346">IF(ISBLANK(Table16[[#This Row],[Units Sold]]),AVERAGE(_xlfn._xlws.FILTER(Table16[Units Sold],NOT(ISBLANK(Table16[Units Sold])))),Table16[[#This Row],[Units Sold]])</f>
        <v>18</v>
      </c>
      <c r="L346" s="3">
        <v>255.89</v>
      </c>
      <c r="M346" s="11" cm="1">
        <f t="array" ref="M346">IF(ISBLANK(Table16[[#This Row],[Unit Price]]),AVERAGE(_xlfn._xlws.FILTER(Table16[Unit Price],NOT(ISBLANK(Table16[Unit Price])))),Table16[[#This Row],[Unit Price]])</f>
        <v>255.89</v>
      </c>
      <c r="N346" s="3">
        <v>114.53</v>
      </c>
      <c r="O346" s="11">
        <f>Table16[[#This Row],[Unit sold Filled]]*Table16[[#This Row],[Unit Price Filled]]</f>
        <v>4606.0199999999995</v>
      </c>
    </row>
    <row r="347" spans="1:15" x14ac:dyDescent="0.3">
      <c r="A347" s="1" t="s">
        <v>374</v>
      </c>
      <c r="B347" s="1" t="s">
        <v>11</v>
      </c>
      <c r="C347" s="3" t="str">
        <f t="shared" si="11"/>
        <v>East</v>
      </c>
      <c r="D347" s="1" t="s">
        <v>50</v>
      </c>
      <c r="E347" s="1" t="s">
        <v>23</v>
      </c>
      <c r="F347" s="3" t="str">
        <f t="shared" si="10"/>
        <v>Clothing</v>
      </c>
      <c r="G347" s="1" t="s">
        <v>14</v>
      </c>
      <c r="H347" s="1" t="s">
        <v>20</v>
      </c>
      <c r="I347" s="2">
        <v>45272</v>
      </c>
      <c r="J347" s="3">
        <v>271</v>
      </c>
      <c r="K347" s="10" cm="1">
        <f t="array" ref="K347">IF(ISBLANK(Table16[[#This Row],[Units Sold]]),AVERAGE(_xlfn._xlws.FILTER(Table16[Units Sold],NOT(ISBLANK(Table16[Units Sold])))),Table16[[#This Row],[Units Sold]])</f>
        <v>271</v>
      </c>
      <c r="L347" s="3">
        <v>83.86</v>
      </c>
      <c r="M347" s="11" cm="1">
        <f t="array" ref="M347">IF(ISBLANK(Table16[[#This Row],[Unit Price]]),AVERAGE(_xlfn._xlws.FILTER(Table16[Unit Price],NOT(ISBLANK(Table16[Unit Price])))),Table16[[#This Row],[Unit Price]])</f>
        <v>83.86</v>
      </c>
      <c r="N347" s="3">
        <v>19.75</v>
      </c>
      <c r="O347" s="11">
        <f>Table16[[#This Row],[Unit sold Filled]]*Table16[[#This Row],[Unit Price Filled]]</f>
        <v>22726.06</v>
      </c>
    </row>
    <row r="348" spans="1:15" x14ac:dyDescent="0.3">
      <c r="A348" s="1" t="s">
        <v>375</v>
      </c>
      <c r="B348" s="1"/>
      <c r="C348" s="3" t="str">
        <f t="shared" si="11"/>
        <v>West</v>
      </c>
      <c r="D348" s="1" t="s">
        <v>12</v>
      </c>
      <c r="E348" s="1" t="s">
        <v>42</v>
      </c>
      <c r="F348" s="3" t="str">
        <f t="shared" si="10"/>
        <v>Electronics</v>
      </c>
      <c r="G348" s="1" t="s">
        <v>14</v>
      </c>
      <c r="H348" s="1" t="s">
        <v>15</v>
      </c>
      <c r="I348" s="2">
        <v>45273</v>
      </c>
      <c r="J348" s="3">
        <v>82</v>
      </c>
      <c r="K348" s="10" cm="1">
        <f t="array" ref="K348">IF(ISBLANK(Table16[[#This Row],[Units Sold]]),AVERAGE(_xlfn._xlws.FILTER(Table16[Units Sold],NOT(ISBLANK(Table16[Units Sold])))),Table16[[#This Row],[Units Sold]])</f>
        <v>82</v>
      </c>
      <c r="L348" s="3">
        <v>36.24</v>
      </c>
      <c r="M348" s="11" cm="1">
        <f t="array" ref="M348">IF(ISBLANK(Table16[[#This Row],[Unit Price]]),AVERAGE(_xlfn._xlws.FILTER(Table16[Unit Price],NOT(ISBLANK(Table16[Unit Price])))),Table16[[#This Row],[Unit Price]])</f>
        <v>36.24</v>
      </c>
      <c r="N348" s="3">
        <v>16.440000000000001</v>
      </c>
      <c r="O348" s="11">
        <f>Table16[[#This Row],[Unit sold Filled]]*Table16[[#This Row],[Unit Price Filled]]</f>
        <v>2971.6800000000003</v>
      </c>
    </row>
    <row r="349" spans="1:15" x14ac:dyDescent="0.3">
      <c r="A349" s="1" t="s">
        <v>376</v>
      </c>
      <c r="B349" s="1" t="s">
        <v>17</v>
      </c>
      <c r="C349" s="3" t="str">
        <f t="shared" si="11"/>
        <v>West</v>
      </c>
      <c r="D349" s="1" t="s">
        <v>12</v>
      </c>
      <c r="E349" s="1" t="s">
        <v>19</v>
      </c>
      <c r="F349" s="3" t="str">
        <f t="shared" si="10"/>
        <v>Food</v>
      </c>
      <c r="G349" s="1" t="s">
        <v>14</v>
      </c>
      <c r="H349" s="1" t="s">
        <v>15</v>
      </c>
      <c r="I349" s="2">
        <v>45274</v>
      </c>
      <c r="J349" s="3">
        <v>368</v>
      </c>
      <c r="K349" s="10" cm="1">
        <f t="array" ref="K349">IF(ISBLANK(Table16[[#This Row],[Units Sold]]),AVERAGE(_xlfn._xlws.FILTER(Table16[Units Sold],NOT(ISBLANK(Table16[Units Sold])))),Table16[[#This Row],[Units Sold]])</f>
        <v>368</v>
      </c>
      <c r="L349" s="3">
        <v>63.24</v>
      </c>
      <c r="M349" s="11" cm="1">
        <f t="array" ref="M349">IF(ISBLANK(Table16[[#This Row],[Unit Price]]),AVERAGE(_xlfn._xlws.FILTER(Table16[Unit Price],NOT(ISBLANK(Table16[Unit Price])))),Table16[[#This Row],[Unit Price]])</f>
        <v>63.24</v>
      </c>
      <c r="N349" s="3">
        <v>111.74</v>
      </c>
      <c r="O349" s="11">
        <f>Table16[[#This Row],[Unit sold Filled]]*Table16[[#This Row],[Unit Price Filled]]</f>
        <v>23272.32</v>
      </c>
    </row>
    <row r="350" spans="1:15" x14ac:dyDescent="0.3">
      <c r="A350" s="1" t="s">
        <v>377</v>
      </c>
      <c r="B350" s="1" t="s">
        <v>17</v>
      </c>
      <c r="C350" s="3" t="str">
        <f t="shared" si="11"/>
        <v>West</v>
      </c>
      <c r="D350" s="1" t="s">
        <v>12</v>
      </c>
      <c r="E350" s="1" t="s">
        <v>13</v>
      </c>
      <c r="F350" s="3" t="str">
        <f t="shared" si="10"/>
        <v>Beverages</v>
      </c>
      <c r="G350" s="1" t="s">
        <v>14</v>
      </c>
      <c r="H350" s="1" t="s">
        <v>20</v>
      </c>
      <c r="I350" s="2">
        <v>45275</v>
      </c>
      <c r="J350" s="3">
        <v>232</v>
      </c>
      <c r="K350" s="10" cm="1">
        <f t="array" ref="K350">IF(ISBLANK(Table16[[#This Row],[Units Sold]]),AVERAGE(_xlfn._xlws.FILTER(Table16[Units Sold],NOT(ISBLANK(Table16[Units Sold])))),Table16[[#This Row],[Units Sold]])</f>
        <v>232</v>
      </c>
      <c r="L350" s="3">
        <v>117.54</v>
      </c>
      <c r="M350" s="11" cm="1">
        <f t="array" ref="M350">IF(ISBLANK(Table16[[#This Row],[Unit Price]]),AVERAGE(_xlfn._xlws.FILTER(Table16[Unit Price],NOT(ISBLANK(Table16[Unit Price])))),Table16[[#This Row],[Unit Price]])</f>
        <v>117.54</v>
      </c>
      <c r="N350" s="3">
        <v>111.69</v>
      </c>
      <c r="O350" s="11">
        <f>Table16[[#This Row],[Unit sold Filled]]*Table16[[#This Row],[Unit Price Filled]]</f>
        <v>27269.280000000002</v>
      </c>
    </row>
    <row r="351" spans="1:15" x14ac:dyDescent="0.3">
      <c r="A351" s="6" t="s">
        <v>378</v>
      </c>
      <c r="B351" s="6" t="s">
        <v>11</v>
      </c>
      <c r="C351" s="8" t="str">
        <f t="shared" si="11"/>
        <v>East</v>
      </c>
      <c r="D351" s="6" t="s">
        <v>31</v>
      </c>
      <c r="E351" s="6" t="s">
        <v>23</v>
      </c>
      <c r="F351" s="8" t="str">
        <f t="shared" si="10"/>
        <v>Clothing</v>
      </c>
      <c r="G351" s="6" t="s">
        <v>24</v>
      </c>
      <c r="H351" s="6" t="s">
        <v>15</v>
      </c>
      <c r="I351" s="7">
        <v>45276</v>
      </c>
      <c r="J351" s="8">
        <v>425</v>
      </c>
      <c r="K351" s="10" cm="1">
        <f t="array" ref="K351">IF(ISBLANK(Table16[[#This Row],[Units Sold]]),AVERAGE(_xlfn._xlws.FILTER(Table16[Units Sold],NOT(ISBLANK(Table16[Units Sold])))),Table16[[#This Row],[Units Sold]])</f>
        <v>425</v>
      </c>
      <c r="L351" s="8">
        <v>174.13</v>
      </c>
      <c r="M351" s="11" cm="1">
        <f t="array" ref="M351">IF(ISBLANK(Table16[[#This Row],[Unit Price]]),AVERAGE(_xlfn._xlws.FILTER(Table16[Unit Price],NOT(ISBLANK(Table16[Unit Price])))),Table16[[#This Row],[Unit Price]])</f>
        <v>174.13</v>
      </c>
      <c r="N351" s="8">
        <v>315.27999999999997</v>
      </c>
      <c r="O351" s="11">
        <f>Table16[[#This Row],[Unit sold Filled]]*Table16[[#This Row],[Unit Price Filled]]</f>
        <v>74005.25</v>
      </c>
    </row>
  </sheetData>
  <conditionalFormatting sqref="B2:B351">
    <cfRule type="cellIs" dxfId="25" priority="1" operator="equal">
      <formula>""</formula>
    </cfRule>
  </conditionalFormatting>
  <conditionalFormatting sqref="E2:E351">
    <cfRule type="containsBlanks" dxfId="24" priority="2">
      <formula>LEN(TRIM(E2))=0</formula>
    </cfRule>
  </conditionalFormatting>
  <conditionalFormatting sqref="J2:J351">
    <cfRule type="containsBlanks" dxfId="23" priority="3">
      <formula>LEN(TRIM(J2))=0</formula>
    </cfRule>
  </conditionalFormatting>
  <conditionalFormatting sqref="L2:L351">
    <cfRule type="containsBlanks" dxfId="22" priority="4">
      <formula>LEN(TRIM(L2))=0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01F0-E905-43B4-A7A2-F3E69AA0A1CD}">
  <dimension ref="A1:B5"/>
  <sheetViews>
    <sheetView workbookViewId="0"/>
  </sheetViews>
  <sheetFormatPr defaultRowHeight="14.4" x14ac:dyDescent="0.3"/>
  <sheetData>
    <row r="1" spans="1:2" x14ac:dyDescent="0.3">
      <c r="A1" t="s">
        <v>1</v>
      </c>
      <c r="B1" t="s">
        <v>387</v>
      </c>
    </row>
    <row r="2" spans="1:2" x14ac:dyDescent="0.3">
      <c r="A2" t="s">
        <v>17</v>
      </c>
      <c r="B2">
        <v>96</v>
      </c>
    </row>
    <row r="3" spans="1:2" x14ac:dyDescent="0.3">
      <c r="A3" t="s">
        <v>11</v>
      </c>
      <c r="B3">
        <v>91</v>
      </c>
    </row>
    <row r="4" spans="1:2" x14ac:dyDescent="0.3">
      <c r="A4" t="s">
        <v>22</v>
      </c>
      <c r="B4">
        <v>78</v>
      </c>
    </row>
    <row r="5" spans="1:2" x14ac:dyDescent="0.3">
      <c r="A5" t="s">
        <v>48</v>
      </c>
      <c r="B5">
        <v>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E467-600F-4681-84F0-2B7BFE4EAC8E}">
  <dimension ref="A1:L351"/>
  <sheetViews>
    <sheetView topLeftCell="C1" workbookViewId="0">
      <selection activeCell="P13" sqref="P13"/>
    </sheetView>
  </sheetViews>
  <sheetFormatPr defaultRowHeight="14.4" x14ac:dyDescent="0.3"/>
  <cols>
    <col min="1" max="1" width="10.6640625" bestFit="1" customWidth="1"/>
    <col min="2" max="2" width="14.5546875" bestFit="1" customWidth="1"/>
    <col min="3" max="3" width="10.33203125" bestFit="1" customWidth="1"/>
    <col min="4" max="4" width="15" customWidth="1"/>
    <col min="5" max="5" width="13.6640625" bestFit="1" customWidth="1"/>
    <col min="6" max="6" width="11.44140625" bestFit="1" customWidth="1"/>
    <col min="7" max="7" width="18.44140625" customWidth="1"/>
    <col min="8" max="8" width="16.33203125" bestFit="1" customWidth="1"/>
    <col min="9" max="9" width="17.109375" bestFit="1" customWidth="1"/>
    <col min="10" max="10" width="11.33203125" bestFit="1" customWidth="1"/>
    <col min="11" max="11" width="15.5546875" bestFit="1" customWidth="1"/>
    <col min="12" max="12" width="12" customWidth="1"/>
  </cols>
  <sheetData>
    <row r="1" spans="1:12" s="21" customFormat="1" ht="28.8" x14ac:dyDescent="0.3">
      <c r="A1" s="19" t="s">
        <v>0</v>
      </c>
      <c r="B1" s="26" t="s">
        <v>381</v>
      </c>
      <c r="C1" s="20" t="s">
        <v>2</v>
      </c>
      <c r="D1" s="21" t="s">
        <v>382</v>
      </c>
      <c r="E1" s="20" t="s">
        <v>4</v>
      </c>
      <c r="F1" s="20" t="s">
        <v>5</v>
      </c>
      <c r="G1" s="20" t="s">
        <v>6</v>
      </c>
      <c r="H1" s="21" t="s">
        <v>383</v>
      </c>
      <c r="I1" s="21" t="s">
        <v>384</v>
      </c>
      <c r="J1" s="20" t="s">
        <v>9</v>
      </c>
      <c r="K1" s="21" t="s">
        <v>385</v>
      </c>
      <c r="L1" s="21" t="s">
        <v>388</v>
      </c>
    </row>
    <row r="2" spans="1:12" x14ac:dyDescent="0.3">
      <c r="A2" s="15" t="s">
        <v>10</v>
      </c>
      <c r="B2" s="16" t="s">
        <v>11</v>
      </c>
      <c r="C2" s="15" t="s">
        <v>12</v>
      </c>
      <c r="D2" t="s">
        <v>13</v>
      </c>
      <c r="E2" s="15" t="s">
        <v>14</v>
      </c>
      <c r="F2" s="15" t="s">
        <v>15</v>
      </c>
      <c r="G2" s="18">
        <v>44927</v>
      </c>
      <c r="H2" s="24">
        <v>235</v>
      </c>
      <c r="I2" s="23">
        <v>152.91999999999999</v>
      </c>
      <c r="J2" s="17">
        <v>153.6</v>
      </c>
      <c r="K2">
        <v>35936.199999999997</v>
      </c>
      <c r="L2" s="22">
        <f>(Table6[[#This Row],[Unit sold Filled]]*Table6[[#This Row],[Unit Price Filled]])-(Table6[[#This Row],[Unit sold Filled]]*Table6[[#This Row],[Unit Cost]])</f>
        <v>-159.80000000000291</v>
      </c>
    </row>
    <row r="3" spans="1:12" x14ac:dyDescent="0.3">
      <c r="A3" s="1" t="s">
        <v>16</v>
      </c>
      <c r="B3" s="3" t="s">
        <v>17</v>
      </c>
      <c r="C3" s="1" t="s">
        <v>18</v>
      </c>
      <c r="D3" t="s">
        <v>19</v>
      </c>
      <c r="E3" s="1" t="s">
        <v>14</v>
      </c>
      <c r="F3" s="1" t="s">
        <v>20</v>
      </c>
      <c r="G3" s="2">
        <v>44928</v>
      </c>
      <c r="H3" s="24">
        <v>341</v>
      </c>
      <c r="I3" s="23">
        <v>467.92</v>
      </c>
      <c r="J3" s="3">
        <v>139.84</v>
      </c>
      <c r="K3">
        <v>159560.72</v>
      </c>
      <c r="L3" s="22">
        <f>(Table6[[#This Row],[Unit sold Filled]]*Table6[[#This Row],[Unit Price Filled]])-(Table6[[#This Row],[Unit sold Filled]]*Table6[[#This Row],[Unit Cost]])</f>
        <v>111875.28</v>
      </c>
    </row>
    <row r="4" spans="1:12" x14ac:dyDescent="0.3">
      <c r="A4" s="15" t="s">
        <v>21</v>
      </c>
      <c r="B4" s="17" t="s">
        <v>22</v>
      </c>
      <c r="C4" s="15" t="s">
        <v>18</v>
      </c>
      <c r="D4" t="s">
        <v>23</v>
      </c>
      <c r="E4" s="15" t="s">
        <v>24</v>
      </c>
      <c r="F4" s="15" t="s">
        <v>15</v>
      </c>
      <c r="G4" s="18">
        <v>44929</v>
      </c>
      <c r="H4" s="24">
        <v>179</v>
      </c>
      <c r="I4" s="23">
        <v>473.94</v>
      </c>
      <c r="J4" s="17">
        <v>97.14</v>
      </c>
      <c r="K4">
        <v>84835.26</v>
      </c>
      <c r="L4" s="22">
        <f>(Table6[[#This Row],[Unit sold Filled]]*Table6[[#This Row],[Unit Price Filled]])-(Table6[[#This Row],[Unit sold Filled]]*Table6[[#This Row],[Unit Cost]])</f>
        <v>67447.199999999997</v>
      </c>
    </row>
    <row r="5" spans="1:12" x14ac:dyDescent="0.3">
      <c r="A5" s="1" t="s">
        <v>25</v>
      </c>
      <c r="B5" s="3" t="s">
        <v>11</v>
      </c>
      <c r="C5" s="1" t="s">
        <v>26</v>
      </c>
      <c r="D5" t="s">
        <v>27</v>
      </c>
      <c r="E5" s="1" t="s">
        <v>24</v>
      </c>
      <c r="F5" s="1" t="s">
        <v>28</v>
      </c>
      <c r="G5" s="2">
        <v>44930</v>
      </c>
      <c r="H5" s="24">
        <v>18</v>
      </c>
      <c r="I5" s="23">
        <v>314.52999999999997</v>
      </c>
      <c r="J5" s="3">
        <v>204.87</v>
      </c>
      <c r="K5">
        <v>5661.5399999999991</v>
      </c>
      <c r="L5" s="22">
        <f>(Table6[[#This Row],[Unit sold Filled]]*Table6[[#This Row],[Unit Price Filled]])-(Table6[[#This Row],[Unit sold Filled]]*Table6[[#This Row],[Unit Cost]])</f>
        <v>1973.8799999999992</v>
      </c>
    </row>
    <row r="6" spans="1:12" x14ac:dyDescent="0.3">
      <c r="A6" s="15" t="s">
        <v>29</v>
      </c>
      <c r="B6" s="17" t="s">
        <v>11</v>
      </c>
      <c r="C6" s="15" t="s">
        <v>18</v>
      </c>
      <c r="D6" t="s">
        <v>27</v>
      </c>
      <c r="E6" s="15" t="s">
        <v>24</v>
      </c>
      <c r="F6" s="15" t="s">
        <v>28</v>
      </c>
      <c r="G6" s="18">
        <v>44931</v>
      </c>
      <c r="H6" s="24">
        <v>472</v>
      </c>
      <c r="I6" s="23">
        <v>392.79</v>
      </c>
      <c r="J6" s="17">
        <v>330.46</v>
      </c>
      <c r="K6">
        <v>185396.88</v>
      </c>
      <c r="L6" s="22">
        <f>(Table6[[#This Row],[Unit sold Filled]]*Table6[[#This Row],[Unit Price Filled]])-(Table6[[#This Row],[Unit sold Filled]]*Table6[[#This Row],[Unit Cost]])</f>
        <v>29419.760000000009</v>
      </c>
    </row>
    <row r="7" spans="1:12" x14ac:dyDescent="0.3">
      <c r="A7" s="1" t="s">
        <v>30</v>
      </c>
      <c r="B7" s="3" t="s">
        <v>17</v>
      </c>
      <c r="C7" s="1" t="s">
        <v>31</v>
      </c>
      <c r="D7" t="s">
        <v>23</v>
      </c>
      <c r="E7" s="1" t="s">
        <v>14</v>
      </c>
      <c r="F7" s="1" t="s">
        <v>15</v>
      </c>
      <c r="G7" s="2">
        <v>44932</v>
      </c>
      <c r="H7" s="24">
        <v>49</v>
      </c>
      <c r="I7" s="23">
        <v>308.07</v>
      </c>
      <c r="J7" s="3">
        <v>113.32</v>
      </c>
      <c r="K7">
        <v>15095.43</v>
      </c>
      <c r="L7" s="22">
        <f>(Table6[[#This Row],[Unit sold Filled]]*Table6[[#This Row],[Unit Price Filled]])-(Table6[[#This Row],[Unit sold Filled]]*Table6[[#This Row],[Unit Cost]])</f>
        <v>9542.75</v>
      </c>
    </row>
    <row r="8" spans="1:12" x14ac:dyDescent="0.3">
      <c r="A8" s="15" t="s">
        <v>32</v>
      </c>
      <c r="B8" s="17" t="s">
        <v>22</v>
      </c>
      <c r="C8" s="15" t="s">
        <v>12</v>
      </c>
      <c r="D8" t="s">
        <v>23</v>
      </c>
      <c r="E8" s="15" t="s">
        <v>14</v>
      </c>
      <c r="F8" s="15" t="s">
        <v>20</v>
      </c>
      <c r="G8" s="18">
        <v>44933</v>
      </c>
      <c r="H8" s="24">
        <v>34</v>
      </c>
      <c r="I8" s="23">
        <v>244.78</v>
      </c>
      <c r="J8" s="17">
        <v>377.07</v>
      </c>
      <c r="K8">
        <v>8322.52</v>
      </c>
      <c r="L8" s="22">
        <f>(Table6[[#This Row],[Unit sold Filled]]*Table6[[#This Row],[Unit Price Filled]])-(Table6[[#This Row],[Unit sold Filled]]*Table6[[#This Row],[Unit Cost]])</f>
        <v>-4497.8599999999988</v>
      </c>
    </row>
    <row r="9" spans="1:12" x14ac:dyDescent="0.3">
      <c r="A9" s="1" t="s">
        <v>33</v>
      </c>
      <c r="B9" s="3" t="s">
        <v>22</v>
      </c>
      <c r="C9" s="1" t="s">
        <v>18</v>
      </c>
      <c r="D9" t="s">
        <v>13</v>
      </c>
      <c r="E9" s="1" t="s">
        <v>14</v>
      </c>
      <c r="F9" s="1" t="s">
        <v>15</v>
      </c>
      <c r="G9" s="2">
        <v>44934</v>
      </c>
      <c r="H9" s="24">
        <v>270</v>
      </c>
      <c r="I9" s="23">
        <v>332.11</v>
      </c>
      <c r="J9" s="3">
        <v>349.59</v>
      </c>
      <c r="K9">
        <v>89669.7</v>
      </c>
      <c r="L9" s="22">
        <f>(Table6[[#This Row],[Unit sold Filled]]*Table6[[#This Row],[Unit Price Filled]])-(Table6[[#This Row],[Unit sold Filled]]*Table6[[#This Row],[Unit Cost]])</f>
        <v>-4719.5999999999913</v>
      </c>
    </row>
    <row r="10" spans="1:12" x14ac:dyDescent="0.3">
      <c r="A10" s="15" t="s">
        <v>34</v>
      </c>
      <c r="B10" s="17" t="s">
        <v>11</v>
      </c>
      <c r="C10" s="15" t="s">
        <v>18</v>
      </c>
      <c r="D10" t="s">
        <v>13</v>
      </c>
      <c r="E10" s="15" t="s">
        <v>14</v>
      </c>
      <c r="F10" s="15" t="s">
        <v>20</v>
      </c>
      <c r="G10" s="18">
        <v>44935</v>
      </c>
      <c r="H10" s="24">
        <v>404</v>
      </c>
      <c r="I10" s="23">
        <v>278.74</v>
      </c>
      <c r="J10" s="17">
        <v>66.38</v>
      </c>
      <c r="K10">
        <v>112610.96</v>
      </c>
      <c r="L10" s="22">
        <f>(Table6[[#This Row],[Unit sold Filled]]*Table6[[#This Row],[Unit Price Filled]])-(Table6[[#This Row],[Unit sold Filled]]*Table6[[#This Row],[Unit Cost]])</f>
        <v>85793.44</v>
      </c>
    </row>
    <row r="11" spans="1:12" x14ac:dyDescent="0.3">
      <c r="A11" s="1" t="s">
        <v>35</v>
      </c>
      <c r="B11" s="3" t="s">
        <v>17</v>
      </c>
      <c r="C11" s="1" t="s">
        <v>26</v>
      </c>
      <c r="D11" t="s">
        <v>27</v>
      </c>
      <c r="E11" s="1" t="s">
        <v>14</v>
      </c>
      <c r="F11" s="1" t="s">
        <v>28</v>
      </c>
      <c r="G11" s="2">
        <v>44936</v>
      </c>
      <c r="H11" s="24">
        <v>452</v>
      </c>
      <c r="I11" s="23">
        <v>300.75</v>
      </c>
      <c r="J11" s="3">
        <v>314.94</v>
      </c>
      <c r="K11">
        <v>135939</v>
      </c>
      <c r="L11" s="22">
        <f>(Table6[[#This Row],[Unit sold Filled]]*Table6[[#This Row],[Unit Price Filled]])-(Table6[[#This Row],[Unit sold Filled]]*Table6[[#This Row],[Unit Cost]])</f>
        <v>-6413.8800000000047</v>
      </c>
    </row>
    <row r="12" spans="1:12" x14ac:dyDescent="0.3">
      <c r="A12" s="15" t="s">
        <v>36</v>
      </c>
      <c r="B12" s="17" t="s">
        <v>11</v>
      </c>
      <c r="C12" s="15" t="s">
        <v>26</v>
      </c>
      <c r="D12" t="s">
        <v>19</v>
      </c>
      <c r="E12" s="15" t="s">
        <v>14</v>
      </c>
      <c r="F12" s="15" t="s">
        <v>20</v>
      </c>
      <c r="G12" s="18">
        <v>44937</v>
      </c>
      <c r="H12" s="24">
        <v>235</v>
      </c>
      <c r="I12" s="23">
        <v>393</v>
      </c>
      <c r="J12" s="17">
        <v>230.69</v>
      </c>
      <c r="K12">
        <v>92355</v>
      </c>
      <c r="L12" s="22">
        <f>(Table6[[#This Row],[Unit sold Filled]]*Table6[[#This Row],[Unit Price Filled]])-(Table6[[#This Row],[Unit sold Filled]]*Table6[[#This Row],[Unit Cost]])</f>
        <v>38142.85</v>
      </c>
    </row>
    <row r="13" spans="1:12" x14ac:dyDescent="0.3">
      <c r="A13" s="1" t="s">
        <v>37</v>
      </c>
      <c r="B13" s="3" t="s">
        <v>11</v>
      </c>
      <c r="C13" s="1" t="s">
        <v>31</v>
      </c>
      <c r="D13" t="s">
        <v>27</v>
      </c>
      <c r="E13" s="1" t="s">
        <v>24</v>
      </c>
      <c r="F13" s="1" t="s">
        <v>28</v>
      </c>
      <c r="G13" s="2">
        <v>44938</v>
      </c>
      <c r="H13" s="24">
        <v>481</v>
      </c>
      <c r="I13" s="23">
        <v>243.05</v>
      </c>
      <c r="J13" s="3">
        <v>227.5</v>
      </c>
      <c r="K13">
        <v>116907.05</v>
      </c>
      <c r="L13" s="22">
        <f>(Table6[[#This Row],[Unit sold Filled]]*Table6[[#This Row],[Unit Price Filled]])-(Table6[[#This Row],[Unit sold Filled]]*Table6[[#This Row],[Unit Cost]])</f>
        <v>7479.5500000000029</v>
      </c>
    </row>
    <row r="14" spans="1:12" x14ac:dyDescent="0.3">
      <c r="A14" s="15" t="s">
        <v>38</v>
      </c>
      <c r="B14" s="17" t="s">
        <v>11</v>
      </c>
      <c r="C14" s="15" t="s">
        <v>12</v>
      </c>
      <c r="D14" t="s">
        <v>19</v>
      </c>
      <c r="E14" s="15" t="s">
        <v>24</v>
      </c>
      <c r="F14" s="15" t="s">
        <v>20</v>
      </c>
      <c r="G14" s="18">
        <v>44939</v>
      </c>
      <c r="H14" s="24">
        <v>133</v>
      </c>
      <c r="I14" s="23">
        <v>25.17</v>
      </c>
      <c r="J14" s="17">
        <v>157.63999999999999</v>
      </c>
      <c r="K14">
        <v>3347.61</v>
      </c>
      <c r="L14" s="22">
        <f>(Table6[[#This Row],[Unit sold Filled]]*Table6[[#This Row],[Unit Price Filled]])-(Table6[[#This Row],[Unit sold Filled]]*Table6[[#This Row],[Unit Cost]])</f>
        <v>-17618.509999999998</v>
      </c>
    </row>
    <row r="15" spans="1:12" x14ac:dyDescent="0.3">
      <c r="A15" s="1" t="s">
        <v>39</v>
      </c>
      <c r="B15" s="3" t="s">
        <v>11</v>
      </c>
      <c r="C15" s="1" t="s">
        <v>26</v>
      </c>
      <c r="D15" t="s">
        <v>19</v>
      </c>
      <c r="E15" s="1" t="s">
        <v>24</v>
      </c>
      <c r="F15" s="1" t="s">
        <v>20</v>
      </c>
      <c r="G15" s="2">
        <v>44940</v>
      </c>
      <c r="H15" s="24">
        <v>472</v>
      </c>
      <c r="I15" s="23">
        <v>86.18</v>
      </c>
      <c r="J15" s="3">
        <v>201.46</v>
      </c>
      <c r="K15">
        <v>40676.960000000006</v>
      </c>
      <c r="L15" s="22">
        <f>(Table6[[#This Row],[Unit sold Filled]]*Table6[[#This Row],[Unit Price Filled]])-(Table6[[#This Row],[Unit sold Filled]]*Table6[[#This Row],[Unit Cost]])</f>
        <v>-54412.160000000003</v>
      </c>
    </row>
    <row r="16" spans="1:12" x14ac:dyDescent="0.3">
      <c r="A16" s="15" t="s">
        <v>40</v>
      </c>
      <c r="B16" s="17" t="s">
        <v>17</v>
      </c>
      <c r="C16" s="15" t="s">
        <v>18</v>
      </c>
      <c r="D16" t="s">
        <v>13</v>
      </c>
      <c r="E16" s="15" t="s">
        <v>24</v>
      </c>
      <c r="F16" s="15" t="s">
        <v>20</v>
      </c>
      <c r="G16" s="18">
        <v>44941</v>
      </c>
      <c r="H16" s="24">
        <v>47</v>
      </c>
      <c r="I16" s="23">
        <v>222.11</v>
      </c>
      <c r="J16" s="17">
        <v>160.08000000000001</v>
      </c>
      <c r="K16">
        <v>10439.17</v>
      </c>
      <c r="L16" s="22">
        <f>(Table6[[#This Row],[Unit sold Filled]]*Table6[[#This Row],[Unit Price Filled]])-(Table6[[#This Row],[Unit sold Filled]]*Table6[[#This Row],[Unit Cost]])</f>
        <v>2915.41</v>
      </c>
    </row>
    <row r="17" spans="1:12" x14ac:dyDescent="0.3">
      <c r="A17" s="1" t="s">
        <v>41</v>
      </c>
      <c r="B17" s="3" t="s">
        <v>22</v>
      </c>
      <c r="C17" s="1" t="s">
        <v>12</v>
      </c>
      <c r="D17" t="s">
        <v>42</v>
      </c>
      <c r="E17" s="1" t="s">
        <v>14</v>
      </c>
      <c r="F17" s="1" t="s">
        <v>15</v>
      </c>
      <c r="G17" s="2">
        <v>44942</v>
      </c>
      <c r="H17" s="24">
        <v>337</v>
      </c>
      <c r="I17" s="23">
        <v>363.79</v>
      </c>
      <c r="J17" s="3">
        <v>216.81</v>
      </c>
      <c r="K17">
        <v>122597.23000000001</v>
      </c>
      <c r="L17" s="22">
        <f>(Table6[[#This Row],[Unit sold Filled]]*Table6[[#This Row],[Unit Price Filled]])-(Table6[[#This Row],[Unit sold Filled]]*Table6[[#This Row],[Unit Cost]])</f>
        <v>49532.260000000009</v>
      </c>
    </row>
    <row r="18" spans="1:12" x14ac:dyDescent="0.3">
      <c r="A18" s="15" t="s">
        <v>43</v>
      </c>
      <c r="B18" s="17" t="s">
        <v>17</v>
      </c>
      <c r="C18" s="15" t="s">
        <v>12</v>
      </c>
      <c r="D18" t="s">
        <v>42</v>
      </c>
      <c r="E18" s="15" t="s">
        <v>14</v>
      </c>
      <c r="F18" s="15" t="s">
        <v>15</v>
      </c>
      <c r="G18" s="18">
        <v>44943</v>
      </c>
      <c r="H18" s="24">
        <v>260</v>
      </c>
      <c r="I18" s="23">
        <v>298.67</v>
      </c>
      <c r="J18" s="17">
        <v>251.92</v>
      </c>
      <c r="K18">
        <v>77654.2</v>
      </c>
      <c r="L18" s="22">
        <f>(Table6[[#This Row],[Unit sold Filled]]*Table6[[#This Row],[Unit Price Filled]])-(Table6[[#This Row],[Unit sold Filled]]*Table6[[#This Row],[Unit Cost]])</f>
        <v>12155</v>
      </c>
    </row>
    <row r="19" spans="1:12" x14ac:dyDescent="0.3">
      <c r="A19" s="1" t="s">
        <v>44</v>
      </c>
      <c r="B19" s="3" t="s">
        <v>17</v>
      </c>
      <c r="C19" s="1" t="s">
        <v>18</v>
      </c>
      <c r="D19" t="s">
        <v>23</v>
      </c>
      <c r="E19" s="1" t="s">
        <v>24</v>
      </c>
      <c r="F19" s="1" t="s">
        <v>28</v>
      </c>
      <c r="G19" s="2">
        <v>44944</v>
      </c>
      <c r="H19" s="24">
        <v>398</v>
      </c>
      <c r="I19" s="23">
        <v>326.89999999999998</v>
      </c>
      <c r="J19" s="3">
        <v>270.37</v>
      </c>
      <c r="K19">
        <v>130106.2</v>
      </c>
      <c r="L19" s="22">
        <f>(Table6[[#This Row],[Unit sold Filled]]*Table6[[#This Row],[Unit Price Filled]])-(Table6[[#This Row],[Unit sold Filled]]*Table6[[#This Row],[Unit Cost]])</f>
        <v>22498.940000000002</v>
      </c>
    </row>
    <row r="20" spans="1:12" x14ac:dyDescent="0.3">
      <c r="A20" s="15" t="s">
        <v>45</v>
      </c>
      <c r="B20" s="17" t="s">
        <v>17</v>
      </c>
      <c r="C20" s="15" t="s">
        <v>26</v>
      </c>
      <c r="D20" t="s">
        <v>13</v>
      </c>
      <c r="E20" s="15" t="s">
        <v>14</v>
      </c>
      <c r="F20" s="15" t="s">
        <v>28</v>
      </c>
      <c r="G20" s="18">
        <v>44945</v>
      </c>
      <c r="H20" s="24">
        <v>185</v>
      </c>
      <c r="I20" s="23">
        <v>242.24</v>
      </c>
      <c r="J20" s="17">
        <v>213.93</v>
      </c>
      <c r="K20">
        <v>44814.400000000001</v>
      </c>
      <c r="L20" s="22">
        <f>(Table6[[#This Row],[Unit sold Filled]]*Table6[[#This Row],[Unit Price Filled]])-(Table6[[#This Row],[Unit sold Filled]]*Table6[[#This Row],[Unit Cost]])</f>
        <v>5237.3499999999985</v>
      </c>
    </row>
    <row r="21" spans="1:12" x14ac:dyDescent="0.3">
      <c r="A21" s="1" t="s">
        <v>46</v>
      </c>
      <c r="B21" s="3" t="s">
        <v>11</v>
      </c>
      <c r="C21" s="1" t="s">
        <v>18</v>
      </c>
      <c r="D21" t="s">
        <v>19</v>
      </c>
      <c r="E21" s="1" t="s">
        <v>24</v>
      </c>
      <c r="F21" s="1" t="s">
        <v>15</v>
      </c>
      <c r="G21" s="2">
        <v>44946</v>
      </c>
      <c r="H21" s="24">
        <v>99</v>
      </c>
      <c r="I21" s="23">
        <v>309.79000000000002</v>
      </c>
      <c r="J21" s="3">
        <v>289.13</v>
      </c>
      <c r="K21">
        <v>30669.210000000003</v>
      </c>
      <c r="L21" s="22">
        <f>(Table6[[#This Row],[Unit sold Filled]]*Table6[[#This Row],[Unit Price Filled]])-(Table6[[#This Row],[Unit sold Filled]]*Table6[[#This Row],[Unit Cost]])</f>
        <v>2045.3400000000038</v>
      </c>
    </row>
    <row r="22" spans="1:12" x14ac:dyDescent="0.3">
      <c r="A22" s="15" t="s">
        <v>47</v>
      </c>
      <c r="B22" s="17" t="s">
        <v>48</v>
      </c>
      <c r="C22" s="15" t="s">
        <v>12</v>
      </c>
      <c r="D22" t="s">
        <v>42</v>
      </c>
      <c r="E22" s="15" t="s">
        <v>24</v>
      </c>
      <c r="F22" s="15" t="s">
        <v>28</v>
      </c>
      <c r="G22" s="18">
        <v>44947</v>
      </c>
      <c r="H22" s="24">
        <v>411</v>
      </c>
      <c r="I22" s="23">
        <v>167.86</v>
      </c>
      <c r="J22" s="17">
        <v>58.23</v>
      </c>
      <c r="K22">
        <v>68990.460000000006</v>
      </c>
      <c r="L22" s="22">
        <f>(Table6[[#This Row],[Unit sold Filled]]*Table6[[#This Row],[Unit Price Filled]])-(Table6[[#This Row],[Unit sold Filled]]*Table6[[#This Row],[Unit Cost]])</f>
        <v>45057.930000000008</v>
      </c>
    </row>
    <row r="23" spans="1:12" x14ac:dyDescent="0.3">
      <c r="A23" s="1" t="s">
        <v>49</v>
      </c>
      <c r="B23" s="3" t="s">
        <v>22</v>
      </c>
      <c r="C23" s="1" t="s">
        <v>50</v>
      </c>
      <c r="D23" t="s">
        <v>19</v>
      </c>
      <c r="E23" s="1" t="s">
        <v>24</v>
      </c>
      <c r="F23" s="1" t="s">
        <v>15</v>
      </c>
      <c r="G23" s="2">
        <v>44948</v>
      </c>
      <c r="H23" s="24">
        <v>463</v>
      </c>
      <c r="I23" s="23">
        <v>237.74</v>
      </c>
      <c r="J23" s="3">
        <v>86.37</v>
      </c>
      <c r="K23">
        <v>110073.62000000001</v>
      </c>
      <c r="L23" s="22">
        <f>(Table6[[#This Row],[Unit sold Filled]]*Table6[[#This Row],[Unit Price Filled]])-(Table6[[#This Row],[Unit sold Filled]]*Table6[[#This Row],[Unit Cost]])</f>
        <v>70084.31</v>
      </c>
    </row>
    <row r="24" spans="1:12" x14ac:dyDescent="0.3">
      <c r="A24" s="15" t="s">
        <v>51</v>
      </c>
      <c r="B24" s="17" t="s">
        <v>48</v>
      </c>
      <c r="C24" s="15" t="s">
        <v>50</v>
      </c>
      <c r="D24" t="s">
        <v>42</v>
      </c>
      <c r="E24" s="15" t="s">
        <v>14</v>
      </c>
      <c r="F24" s="15" t="s">
        <v>20</v>
      </c>
      <c r="G24" s="18">
        <v>44949</v>
      </c>
      <c r="H24" s="24">
        <v>46</v>
      </c>
      <c r="I24" s="23">
        <v>373.42</v>
      </c>
      <c r="J24" s="17">
        <v>327.86</v>
      </c>
      <c r="K24">
        <v>17177.32</v>
      </c>
      <c r="L24" s="22">
        <f>(Table6[[#This Row],[Unit sold Filled]]*Table6[[#This Row],[Unit Price Filled]])-(Table6[[#This Row],[Unit sold Filled]]*Table6[[#This Row],[Unit Cost]])</f>
        <v>2095.7599999999984</v>
      </c>
    </row>
    <row r="25" spans="1:12" x14ac:dyDescent="0.3">
      <c r="A25" s="1" t="s">
        <v>52</v>
      </c>
      <c r="B25" s="3" t="s">
        <v>17</v>
      </c>
      <c r="C25" s="1" t="s">
        <v>31</v>
      </c>
      <c r="D25" t="s">
        <v>42</v>
      </c>
      <c r="E25" s="1" t="s">
        <v>24</v>
      </c>
      <c r="F25" s="1" t="s">
        <v>28</v>
      </c>
      <c r="G25" s="2">
        <v>44950</v>
      </c>
      <c r="H25" s="24">
        <v>325</v>
      </c>
      <c r="I25" s="23">
        <v>436.56</v>
      </c>
      <c r="J25" s="3">
        <v>130.37</v>
      </c>
      <c r="K25">
        <v>141882</v>
      </c>
      <c r="L25" s="22">
        <f>(Table6[[#This Row],[Unit sold Filled]]*Table6[[#This Row],[Unit Price Filled]])-(Table6[[#This Row],[Unit sold Filled]]*Table6[[#This Row],[Unit Cost]])</f>
        <v>99511.75</v>
      </c>
    </row>
    <row r="26" spans="1:12" x14ac:dyDescent="0.3">
      <c r="A26" s="15" t="s">
        <v>53</v>
      </c>
      <c r="B26" s="17" t="s">
        <v>17</v>
      </c>
      <c r="C26" s="15" t="s">
        <v>18</v>
      </c>
      <c r="D26" t="s">
        <v>389</v>
      </c>
      <c r="E26" s="15" t="s">
        <v>24</v>
      </c>
      <c r="F26" s="15" t="s">
        <v>28</v>
      </c>
      <c r="G26" s="18">
        <v>44951</v>
      </c>
      <c r="H26" s="24">
        <v>185</v>
      </c>
      <c r="I26" s="23">
        <v>219.66</v>
      </c>
      <c r="J26" s="17">
        <v>11.11</v>
      </c>
      <c r="K26">
        <v>40637.1</v>
      </c>
      <c r="L26" s="22">
        <f>(Table6[[#This Row],[Unit sold Filled]]*Table6[[#This Row],[Unit Price Filled]])-(Table6[[#This Row],[Unit sold Filled]]*Table6[[#This Row],[Unit Cost]])</f>
        <v>38581.75</v>
      </c>
    </row>
    <row r="27" spans="1:12" x14ac:dyDescent="0.3">
      <c r="A27" s="1" t="s">
        <v>54</v>
      </c>
      <c r="B27" s="3" t="s">
        <v>48</v>
      </c>
      <c r="C27" s="1" t="s">
        <v>18</v>
      </c>
      <c r="D27" t="s">
        <v>13</v>
      </c>
      <c r="E27" s="1" t="s">
        <v>24</v>
      </c>
      <c r="F27" s="1" t="s">
        <v>15</v>
      </c>
      <c r="G27" s="2">
        <v>44952</v>
      </c>
      <c r="H27" s="24">
        <v>470</v>
      </c>
      <c r="I27" s="23">
        <v>26.61</v>
      </c>
      <c r="J27" s="3">
        <v>63.21</v>
      </c>
      <c r="K27">
        <v>12506.699999999999</v>
      </c>
      <c r="L27" s="22">
        <f>(Table6[[#This Row],[Unit sold Filled]]*Table6[[#This Row],[Unit Price Filled]])-(Table6[[#This Row],[Unit sold Filled]]*Table6[[#This Row],[Unit Cost]])</f>
        <v>-17202</v>
      </c>
    </row>
    <row r="28" spans="1:12" x14ac:dyDescent="0.3">
      <c r="A28" s="15" t="s">
        <v>55</v>
      </c>
      <c r="B28" s="17" t="s">
        <v>48</v>
      </c>
      <c r="C28" s="15" t="s">
        <v>31</v>
      </c>
      <c r="D28" t="s">
        <v>27</v>
      </c>
      <c r="E28" s="15" t="s">
        <v>14</v>
      </c>
      <c r="F28" s="15" t="s">
        <v>28</v>
      </c>
      <c r="G28" s="18">
        <v>44953</v>
      </c>
      <c r="H28" s="24">
        <v>293</v>
      </c>
      <c r="I28" s="23">
        <v>85.03</v>
      </c>
      <c r="J28" s="17">
        <v>91</v>
      </c>
      <c r="K28">
        <v>24913.79</v>
      </c>
      <c r="L28" s="22">
        <f>(Table6[[#This Row],[Unit sold Filled]]*Table6[[#This Row],[Unit Price Filled]])-(Table6[[#This Row],[Unit sold Filled]]*Table6[[#This Row],[Unit Cost]])</f>
        <v>-1749.2099999999991</v>
      </c>
    </row>
    <row r="29" spans="1:12" x14ac:dyDescent="0.3">
      <c r="A29" s="1" t="s">
        <v>56</v>
      </c>
      <c r="B29" s="3" t="s">
        <v>48</v>
      </c>
      <c r="C29" s="1" t="s">
        <v>31</v>
      </c>
      <c r="D29" t="s">
        <v>19</v>
      </c>
      <c r="E29" s="1" t="s">
        <v>14</v>
      </c>
      <c r="F29" s="1" t="s">
        <v>28</v>
      </c>
      <c r="G29" s="2">
        <v>44954</v>
      </c>
      <c r="H29" s="24">
        <v>462</v>
      </c>
      <c r="I29" s="23">
        <v>249.64520588235297</v>
      </c>
      <c r="J29" s="3">
        <v>383.01</v>
      </c>
      <c r="K29">
        <v>115336.08511764708</v>
      </c>
      <c r="L29" s="22">
        <f>(Table6[[#This Row],[Unit sold Filled]]*Table6[[#This Row],[Unit Price Filled]])-(Table6[[#This Row],[Unit sold Filled]]*Table6[[#This Row],[Unit Cost]])</f>
        <v>-61614.53488235292</v>
      </c>
    </row>
    <row r="30" spans="1:12" x14ac:dyDescent="0.3">
      <c r="A30" s="15" t="s">
        <v>57</v>
      </c>
      <c r="B30" s="17" t="s">
        <v>17</v>
      </c>
      <c r="C30" s="15" t="s">
        <v>31</v>
      </c>
      <c r="D30" t="s">
        <v>13</v>
      </c>
      <c r="E30" s="15" t="s">
        <v>24</v>
      </c>
      <c r="F30" s="15" t="s">
        <v>20</v>
      </c>
      <c r="G30" s="18">
        <v>44955</v>
      </c>
      <c r="H30" s="24">
        <v>470</v>
      </c>
      <c r="I30" s="23">
        <v>328.37</v>
      </c>
      <c r="J30" s="17">
        <v>230.07</v>
      </c>
      <c r="K30">
        <v>154333.9</v>
      </c>
      <c r="L30" s="22">
        <f>(Table6[[#This Row],[Unit sold Filled]]*Table6[[#This Row],[Unit Price Filled]])-(Table6[[#This Row],[Unit sold Filled]]*Table6[[#This Row],[Unit Cost]])</f>
        <v>46201</v>
      </c>
    </row>
    <row r="31" spans="1:12" x14ac:dyDescent="0.3">
      <c r="A31" s="1" t="s">
        <v>58</v>
      </c>
      <c r="B31" s="3" t="s">
        <v>17</v>
      </c>
      <c r="C31" s="1" t="s">
        <v>12</v>
      </c>
      <c r="D31" t="s">
        <v>13</v>
      </c>
      <c r="E31" s="1" t="s">
        <v>14</v>
      </c>
      <c r="F31" s="1" t="s">
        <v>28</v>
      </c>
      <c r="G31" s="2">
        <v>44956</v>
      </c>
      <c r="H31" s="24">
        <v>90</v>
      </c>
      <c r="I31" s="23">
        <v>169.5</v>
      </c>
      <c r="J31" s="3">
        <v>373.23</v>
      </c>
      <c r="K31">
        <v>15255</v>
      </c>
      <c r="L31" s="22">
        <f>(Table6[[#This Row],[Unit sold Filled]]*Table6[[#This Row],[Unit Price Filled]])-(Table6[[#This Row],[Unit sold Filled]]*Table6[[#This Row],[Unit Cost]])</f>
        <v>-18335.700000000004</v>
      </c>
    </row>
    <row r="32" spans="1:12" x14ac:dyDescent="0.3">
      <c r="A32" s="15" t="s">
        <v>59</v>
      </c>
      <c r="B32" s="17" t="s">
        <v>17</v>
      </c>
      <c r="C32" s="15" t="s">
        <v>18</v>
      </c>
      <c r="D32" t="s">
        <v>13</v>
      </c>
      <c r="E32" s="15" t="s">
        <v>14</v>
      </c>
      <c r="F32" s="15" t="s">
        <v>20</v>
      </c>
      <c r="G32" s="18">
        <v>44957</v>
      </c>
      <c r="H32" s="24">
        <v>123</v>
      </c>
      <c r="I32" s="23">
        <v>273.52999999999997</v>
      </c>
      <c r="J32" s="17">
        <v>230.92</v>
      </c>
      <c r="K32">
        <v>33644.189999999995</v>
      </c>
      <c r="L32" s="22">
        <f>(Table6[[#This Row],[Unit sold Filled]]*Table6[[#This Row],[Unit Price Filled]])-(Table6[[#This Row],[Unit sold Filled]]*Table6[[#This Row],[Unit Cost]])</f>
        <v>5241.0299999999952</v>
      </c>
    </row>
    <row r="33" spans="1:12" x14ac:dyDescent="0.3">
      <c r="A33" s="1" t="s">
        <v>60</v>
      </c>
      <c r="B33" s="3" t="s">
        <v>22</v>
      </c>
      <c r="C33" s="1" t="s">
        <v>12</v>
      </c>
      <c r="D33" t="s">
        <v>13</v>
      </c>
      <c r="E33" s="1" t="s">
        <v>14</v>
      </c>
      <c r="F33" s="1" t="s">
        <v>15</v>
      </c>
      <c r="G33" s="2">
        <v>44958</v>
      </c>
      <c r="H33" s="24">
        <v>49</v>
      </c>
      <c r="I33" s="23">
        <v>249.17</v>
      </c>
      <c r="J33" s="3">
        <v>192.78</v>
      </c>
      <c r="K33">
        <v>12209.33</v>
      </c>
      <c r="L33" s="22">
        <f>(Table6[[#This Row],[Unit sold Filled]]*Table6[[#This Row],[Unit Price Filled]])-(Table6[[#This Row],[Unit sold Filled]]*Table6[[#This Row],[Unit Cost]])</f>
        <v>2763.1100000000006</v>
      </c>
    </row>
    <row r="34" spans="1:12" x14ac:dyDescent="0.3">
      <c r="A34" s="15" t="s">
        <v>61</v>
      </c>
      <c r="B34" s="17" t="s">
        <v>17</v>
      </c>
      <c r="C34" s="15" t="s">
        <v>31</v>
      </c>
      <c r="D34" t="s">
        <v>13</v>
      </c>
      <c r="E34" s="15" t="s">
        <v>14</v>
      </c>
      <c r="F34" s="15" t="s">
        <v>28</v>
      </c>
      <c r="G34" s="18">
        <v>44959</v>
      </c>
      <c r="H34" s="24">
        <v>310</v>
      </c>
      <c r="I34" s="23">
        <v>45.36</v>
      </c>
      <c r="J34" s="17">
        <v>126.86</v>
      </c>
      <c r="K34">
        <v>14061.6</v>
      </c>
      <c r="L34" s="22">
        <f>(Table6[[#This Row],[Unit sold Filled]]*Table6[[#This Row],[Unit Price Filled]])-(Table6[[#This Row],[Unit sold Filled]]*Table6[[#This Row],[Unit Cost]])</f>
        <v>-25265</v>
      </c>
    </row>
    <row r="35" spans="1:12" x14ac:dyDescent="0.3">
      <c r="A35" s="1" t="s">
        <v>62</v>
      </c>
      <c r="B35" s="3" t="s">
        <v>48</v>
      </c>
      <c r="C35" s="1" t="s">
        <v>18</v>
      </c>
      <c r="D35" t="s">
        <v>23</v>
      </c>
      <c r="E35" s="1" t="s">
        <v>14</v>
      </c>
      <c r="F35" s="1" t="s">
        <v>20</v>
      </c>
      <c r="G35" s="2">
        <v>44960</v>
      </c>
      <c r="H35" s="24">
        <v>233</v>
      </c>
      <c r="I35" s="23">
        <v>204.61</v>
      </c>
      <c r="J35" s="3">
        <v>243.34</v>
      </c>
      <c r="K35">
        <v>47674.130000000005</v>
      </c>
      <c r="L35" s="22">
        <f>(Table6[[#This Row],[Unit sold Filled]]*Table6[[#This Row],[Unit Price Filled]])-(Table6[[#This Row],[Unit sold Filled]]*Table6[[#This Row],[Unit Cost]])</f>
        <v>-9024.0899999999965</v>
      </c>
    </row>
    <row r="36" spans="1:12" x14ac:dyDescent="0.3">
      <c r="A36" s="15" t="s">
        <v>63</v>
      </c>
      <c r="B36" s="17" t="s">
        <v>48</v>
      </c>
      <c r="C36" s="15" t="s">
        <v>12</v>
      </c>
      <c r="D36" t="s">
        <v>19</v>
      </c>
      <c r="E36" s="15" t="s">
        <v>14</v>
      </c>
      <c r="F36" s="15" t="s">
        <v>15</v>
      </c>
      <c r="G36" s="18">
        <v>44961</v>
      </c>
      <c r="H36" s="24">
        <v>327</v>
      </c>
      <c r="I36" s="23">
        <v>114.18</v>
      </c>
      <c r="J36" s="17">
        <v>57.4</v>
      </c>
      <c r="K36">
        <v>37336.86</v>
      </c>
      <c r="L36" s="22">
        <f>(Table6[[#This Row],[Unit sold Filled]]*Table6[[#This Row],[Unit Price Filled]])-(Table6[[#This Row],[Unit sold Filled]]*Table6[[#This Row],[Unit Cost]])</f>
        <v>18567.060000000001</v>
      </c>
    </row>
    <row r="37" spans="1:12" x14ac:dyDescent="0.3">
      <c r="A37" s="1" t="s">
        <v>64</v>
      </c>
      <c r="B37" s="3" t="s">
        <v>22</v>
      </c>
      <c r="C37" s="1" t="s">
        <v>12</v>
      </c>
      <c r="D37" t="s">
        <v>13</v>
      </c>
      <c r="E37" s="1" t="s">
        <v>14</v>
      </c>
      <c r="F37" s="1" t="s">
        <v>28</v>
      </c>
      <c r="G37" s="2">
        <v>44962</v>
      </c>
      <c r="H37" s="24">
        <v>358</v>
      </c>
      <c r="I37" s="23">
        <v>212.11</v>
      </c>
      <c r="J37" s="3">
        <v>359.51</v>
      </c>
      <c r="K37">
        <v>75935.38</v>
      </c>
      <c r="L37" s="22">
        <f>(Table6[[#This Row],[Unit sold Filled]]*Table6[[#This Row],[Unit Price Filled]])-(Table6[[#This Row],[Unit sold Filled]]*Table6[[#This Row],[Unit Cost]])</f>
        <v>-52769.2</v>
      </c>
    </row>
    <row r="38" spans="1:12" x14ac:dyDescent="0.3">
      <c r="A38" s="15" t="s">
        <v>65</v>
      </c>
      <c r="B38" s="17" t="s">
        <v>17</v>
      </c>
      <c r="C38" s="15" t="s">
        <v>31</v>
      </c>
      <c r="D38" t="s">
        <v>19</v>
      </c>
      <c r="E38" s="15" t="s">
        <v>14</v>
      </c>
      <c r="F38" s="15" t="s">
        <v>15</v>
      </c>
      <c r="G38" s="18">
        <v>44963</v>
      </c>
      <c r="H38" s="24">
        <v>124</v>
      </c>
      <c r="I38" s="23">
        <v>249.64520588235297</v>
      </c>
      <c r="J38" s="17">
        <v>332.07</v>
      </c>
      <c r="K38">
        <v>30956.005529411766</v>
      </c>
      <c r="L38" s="22">
        <f>(Table6[[#This Row],[Unit sold Filled]]*Table6[[#This Row],[Unit Price Filled]])-(Table6[[#This Row],[Unit sold Filled]]*Table6[[#This Row],[Unit Cost]])</f>
        <v>-10220.674470588234</v>
      </c>
    </row>
    <row r="39" spans="1:12" x14ac:dyDescent="0.3">
      <c r="A39" s="1" t="s">
        <v>66</v>
      </c>
      <c r="B39" s="3" t="s">
        <v>22</v>
      </c>
      <c r="C39" s="1" t="s">
        <v>18</v>
      </c>
      <c r="D39" t="s">
        <v>23</v>
      </c>
      <c r="E39" s="1" t="s">
        <v>14</v>
      </c>
      <c r="F39" s="1" t="s">
        <v>28</v>
      </c>
      <c r="G39" s="2">
        <v>44964</v>
      </c>
      <c r="H39" s="24">
        <v>195</v>
      </c>
      <c r="I39" s="23">
        <v>421.02</v>
      </c>
      <c r="J39" s="3">
        <v>128.38</v>
      </c>
      <c r="K39">
        <v>82098.899999999994</v>
      </c>
      <c r="L39" s="22">
        <f>(Table6[[#This Row],[Unit sold Filled]]*Table6[[#This Row],[Unit Price Filled]])-(Table6[[#This Row],[Unit sold Filled]]*Table6[[#This Row],[Unit Cost]])</f>
        <v>57064.799999999996</v>
      </c>
    </row>
    <row r="40" spans="1:12" x14ac:dyDescent="0.3">
      <c r="A40" s="15" t="s">
        <v>67</v>
      </c>
      <c r="B40" s="17" t="s">
        <v>22</v>
      </c>
      <c r="C40" s="15" t="s">
        <v>31</v>
      </c>
      <c r="D40" t="s">
        <v>23</v>
      </c>
      <c r="E40" s="15" t="s">
        <v>14</v>
      </c>
      <c r="F40" s="15" t="s">
        <v>15</v>
      </c>
      <c r="G40" s="18">
        <v>44965</v>
      </c>
      <c r="H40" s="24">
        <v>255.90294117647059</v>
      </c>
      <c r="I40" s="23">
        <v>91.23</v>
      </c>
      <c r="J40" s="17">
        <v>381.21</v>
      </c>
      <c r="K40">
        <v>23346.025323529411</v>
      </c>
      <c r="L40" s="22">
        <f>(Table6[[#This Row],[Unit sold Filled]]*Table6[[#This Row],[Unit Price Filled]])-(Table6[[#This Row],[Unit sold Filled]]*Table6[[#This Row],[Unit Cost]])</f>
        <v>-74206.734882352946</v>
      </c>
    </row>
    <row r="41" spans="1:12" x14ac:dyDescent="0.3">
      <c r="A41" s="1" t="s">
        <v>68</v>
      </c>
      <c r="B41" s="3" t="s">
        <v>11</v>
      </c>
      <c r="C41" s="1" t="s">
        <v>18</v>
      </c>
      <c r="D41" t="s">
        <v>19</v>
      </c>
      <c r="E41" s="1" t="s">
        <v>24</v>
      </c>
      <c r="F41" s="1" t="s">
        <v>15</v>
      </c>
      <c r="G41" s="2">
        <v>44966</v>
      </c>
      <c r="H41" s="24">
        <v>65</v>
      </c>
      <c r="I41" s="23">
        <v>480.59</v>
      </c>
      <c r="J41" s="3">
        <v>330.43</v>
      </c>
      <c r="K41">
        <v>31238.35</v>
      </c>
      <c r="L41" s="22">
        <f>(Table6[[#This Row],[Unit sold Filled]]*Table6[[#This Row],[Unit Price Filled]])-(Table6[[#This Row],[Unit sold Filled]]*Table6[[#This Row],[Unit Cost]])</f>
        <v>9760.3999999999978</v>
      </c>
    </row>
    <row r="42" spans="1:12" x14ac:dyDescent="0.3">
      <c r="A42" s="15" t="s">
        <v>69</v>
      </c>
      <c r="B42" s="17" t="s">
        <v>11</v>
      </c>
      <c r="C42" s="15" t="s">
        <v>50</v>
      </c>
      <c r="D42" t="s">
        <v>42</v>
      </c>
      <c r="E42" s="15" t="s">
        <v>24</v>
      </c>
      <c r="F42" s="15" t="s">
        <v>20</v>
      </c>
      <c r="G42" s="18">
        <v>44967</v>
      </c>
      <c r="H42" s="24">
        <v>49</v>
      </c>
      <c r="I42" s="23">
        <v>210.87</v>
      </c>
      <c r="J42" s="17">
        <v>267.19</v>
      </c>
      <c r="K42">
        <v>10332.630000000001</v>
      </c>
      <c r="L42" s="22">
        <f>(Table6[[#This Row],[Unit sold Filled]]*Table6[[#This Row],[Unit Price Filled]])-(Table6[[#This Row],[Unit sold Filled]]*Table6[[#This Row],[Unit Cost]])</f>
        <v>-2759.6799999999985</v>
      </c>
    </row>
    <row r="43" spans="1:12" x14ac:dyDescent="0.3">
      <c r="A43" s="1" t="s">
        <v>70</v>
      </c>
      <c r="B43" s="3" t="s">
        <v>11</v>
      </c>
      <c r="C43" s="1" t="s">
        <v>26</v>
      </c>
      <c r="D43" t="s">
        <v>27</v>
      </c>
      <c r="E43" s="1" t="s">
        <v>14</v>
      </c>
      <c r="F43" s="1" t="s">
        <v>15</v>
      </c>
      <c r="G43" s="2">
        <v>44968</v>
      </c>
      <c r="H43" s="24">
        <v>363</v>
      </c>
      <c r="I43" s="23">
        <v>423.89</v>
      </c>
      <c r="J43" s="3">
        <v>50.46</v>
      </c>
      <c r="K43">
        <v>153872.07</v>
      </c>
      <c r="L43" s="22">
        <f>(Table6[[#This Row],[Unit sold Filled]]*Table6[[#This Row],[Unit Price Filled]])-(Table6[[#This Row],[Unit sold Filled]]*Table6[[#This Row],[Unit Cost]])</f>
        <v>135555.09</v>
      </c>
    </row>
    <row r="44" spans="1:12" x14ac:dyDescent="0.3">
      <c r="A44" s="15" t="s">
        <v>71</v>
      </c>
      <c r="B44" s="17" t="s">
        <v>48</v>
      </c>
      <c r="C44" s="15" t="s">
        <v>26</v>
      </c>
      <c r="D44" t="s">
        <v>42</v>
      </c>
      <c r="E44" s="15" t="s">
        <v>24</v>
      </c>
      <c r="F44" s="15" t="s">
        <v>28</v>
      </c>
      <c r="G44" s="18">
        <v>44969</v>
      </c>
      <c r="H44" s="24">
        <v>49</v>
      </c>
      <c r="I44" s="23">
        <v>316.24</v>
      </c>
      <c r="J44" s="17">
        <v>192.34</v>
      </c>
      <c r="K44">
        <v>15495.76</v>
      </c>
      <c r="L44" s="22">
        <f>(Table6[[#This Row],[Unit sold Filled]]*Table6[[#This Row],[Unit Price Filled]])-(Table6[[#This Row],[Unit sold Filled]]*Table6[[#This Row],[Unit Cost]])</f>
        <v>6071.1</v>
      </c>
    </row>
    <row r="45" spans="1:12" x14ac:dyDescent="0.3">
      <c r="A45" s="1" t="s">
        <v>72</v>
      </c>
      <c r="B45" s="3" t="s">
        <v>17</v>
      </c>
      <c r="C45" s="1" t="s">
        <v>26</v>
      </c>
      <c r="D45" t="s">
        <v>42</v>
      </c>
      <c r="E45" s="1" t="s">
        <v>24</v>
      </c>
      <c r="F45" s="1" t="s">
        <v>28</v>
      </c>
      <c r="G45" s="2">
        <v>44970</v>
      </c>
      <c r="H45" s="24">
        <v>356</v>
      </c>
      <c r="I45" s="23">
        <v>369</v>
      </c>
      <c r="J45" s="3">
        <v>203.43</v>
      </c>
      <c r="K45">
        <v>131364</v>
      </c>
      <c r="L45" s="22">
        <f>(Table6[[#This Row],[Unit sold Filled]]*Table6[[#This Row],[Unit Price Filled]])-(Table6[[#This Row],[Unit sold Filled]]*Table6[[#This Row],[Unit Cost]])</f>
        <v>58942.92</v>
      </c>
    </row>
    <row r="46" spans="1:12" x14ac:dyDescent="0.3">
      <c r="A46" s="15" t="s">
        <v>73</v>
      </c>
      <c r="B46" s="17" t="s">
        <v>17</v>
      </c>
      <c r="C46" s="15" t="s">
        <v>31</v>
      </c>
      <c r="D46" t="s">
        <v>42</v>
      </c>
      <c r="E46" s="15" t="s">
        <v>14</v>
      </c>
      <c r="F46" s="15" t="s">
        <v>20</v>
      </c>
      <c r="G46" s="18">
        <v>44971</v>
      </c>
      <c r="H46" s="24">
        <v>470</v>
      </c>
      <c r="I46" s="23">
        <v>249.64520588235297</v>
      </c>
      <c r="J46" s="17">
        <v>94.56</v>
      </c>
      <c r="K46">
        <v>117333.24676470589</v>
      </c>
      <c r="L46" s="22">
        <f>(Table6[[#This Row],[Unit sold Filled]]*Table6[[#This Row],[Unit Price Filled]])-(Table6[[#This Row],[Unit sold Filled]]*Table6[[#This Row],[Unit Cost]])</f>
        <v>72890.046764705883</v>
      </c>
    </row>
    <row r="47" spans="1:12" x14ac:dyDescent="0.3">
      <c r="A47" s="1" t="s">
        <v>74</v>
      </c>
      <c r="B47" s="3" t="s">
        <v>17</v>
      </c>
      <c r="C47" s="1" t="s">
        <v>50</v>
      </c>
      <c r="D47" t="s">
        <v>13</v>
      </c>
      <c r="E47" s="1" t="s">
        <v>14</v>
      </c>
      <c r="F47" s="1" t="s">
        <v>28</v>
      </c>
      <c r="G47" s="2">
        <v>44972</v>
      </c>
      <c r="H47" s="24">
        <v>246</v>
      </c>
      <c r="I47" s="23">
        <v>254.9</v>
      </c>
      <c r="J47" s="3">
        <v>33.83</v>
      </c>
      <c r="K47">
        <v>62705.4</v>
      </c>
      <c r="L47" s="22">
        <f>(Table6[[#This Row],[Unit sold Filled]]*Table6[[#This Row],[Unit Price Filled]])-(Table6[[#This Row],[Unit sold Filled]]*Table6[[#This Row],[Unit Cost]])</f>
        <v>54383.22</v>
      </c>
    </row>
    <row r="48" spans="1:12" x14ac:dyDescent="0.3">
      <c r="A48" s="15" t="s">
        <v>75</v>
      </c>
      <c r="B48" s="17" t="s">
        <v>17</v>
      </c>
      <c r="C48" s="15" t="s">
        <v>18</v>
      </c>
      <c r="D48" t="s">
        <v>23</v>
      </c>
      <c r="E48" s="15" t="s">
        <v>14</v>
      </c>
      <c r="F48" s="15" t="s">
        <v>28</v>
      </c>
      <c r="G48" s="18">
        <v>44973</v>
      </c>
      <c r="H48" s="24">
        <v>298</v>
      </c>
      <c r="I48" s="23">
        <v>273.93</v>
      </c>
      <c r="J48" s="17">
        <v>311.14</v>
      </c>
      <c r="K48">
        <v>81631.14</v>
      </c>
      <c r="L48" s="22">
        <f>(Table6[[#This Row],[Unit sold Filled]]*Table6[[#This Row],[Unit Price Filled]])-(Table6[[#This Row],[Unit sold Filled]]*Table6[[#This Row],[Unit Cost]])</f>
        <v>-11088.580000000002</v>
      </c>
    </row>
    <row r="49" spans="1:12" x14ac:dyDescent="0.3">
      <c r="A49" s="1" t="s">
        <v>76</v>
      </c>
      <c r="B49" s="3" t="s">
        <v>11</v>
      </c>
      <c r="C49" s="1" t="s">
        <v>12</v>
      </c>
      <c r="D49" t="s">
        <v>42</v>
      </c>
      <c r="E49" s="1" t="s">
        <v>24</v>
      </c>
      <c r="F49" s="1" t="s">
        <v>28</v>
      </c>
      <c r="G49" s="2">
        <v>44974</v>
      </c>
      <c r="H49" s="24">
        <v>271</v>
      </c>
      <c r="I49" s="23">
        <v>259.43</v>
      </c>
      <c r="J49" s="3">
        <v>50.57</v>
      </c>
      <c r="K49">
        <v>70305.53</v>
      </c>
      <c r="L49" s="22">
        <f>(Table6[[#This Row],[Unit sold Filled]]*Table6[[#This Row],[Unit Price Filled]])-(Table6[[#This Row],[Unit sold Filled]]*Table6[[#This Row],[Unit Cost]])</f>
        <v>56601.06</v>
      </c>
    </row>
    <row r="50" spans="1:12" x14ac:dyDescent="0.3">
      <c r="A50" s="15" t="s">
        <v>77</v>
      </c>
      <c r="B50" s="17" t="s">
        <v>48</v>
      </c>
      <c r="C50" s="15" t="s">
        <v>18</v>
      </c>
      <c r="D50" t="s">
        <v>23</v>
      </c>
      <c r="E50" s="15" t="s">
        <v>24</v>
      </c>
      <c r="F50" s="15" t="s">
        <v>15</v>
      </c>
      <c r="G50" s="18">
        <v>44975</v>
      </c>
      <c r="H50" s="24">
        <v>225</v>
      </c>
      <c r="I50" s="23">
        <v>296.08999999999997</v>
      </c>
      <c r="J50" s="17">
        <v>238.53</v>
      </c>
      <c r="K50">
        <v>66620.25</v>
      </c>
      <c r="L50" s="22">
        <f>(Table6[[#This Row],[Unit sold Filled]]*Table6[[#This Row],[Unit Price Filled]])-(Table6[[#This Row],[Unit sold Filled]]*Table6[[#This Row],[Unit Cost]])</f>
        <v>12951</v>
      </c>
    </row>
    <row r="51" spans="1:12" x14ac:dyDescent="0.3">
      <c r="A51" s="1" t="s">
        <v>78</v>
      </c>
      <c r="B51" s="3" t="s">
        <v>17</v>
      </c>
      <c r="C51" s="1" t="s">
        <v>12</v>
      </c>
      <c r="D51" t="s">
        <v>19</v>
      </c>
      <c r="E51" s="1" t="s">
        <v>14</v>
      </c>
      <c r="F51" s="1" t="s">
        <v>15</v>
      </c>
      <c r="G51" s="2">
        <v>44976</v>
      </c>
      <c r="H51" s="24">
        <v>156</v>
      </c>
      <c r="I51" s="23">
        <v>19.55</v>
      </c>
      <c r="J51" s="3">
        <v>374.71</v>
      </c>
      <c r="K51">
        <v>3049.8</v>
      </c>
      <c r="L51" s="22">
        <f>(Table6[[#This Row],[Unit sold Filled]]*Table6[[#This Row],[Unit Price Filled]])-(Table6[[#This Row],[Unit sold Filled]]*Table6[[#This Row],[Unit Cost]])</f>
        <v>-55404.959999999992</v>
      </c>
    </row>
    <row r="52" spans="1:12" x14ac:dyDescent="0.3">
      <c r="A52" s="15" t="s">
        <v>79</v>
      </c>
      <c r="B52" s="17" t="s">
        <v>11</v>
      </c>
      <c r="C52" s="15" t="s">
        <v>18</v>
      </c>
      <c r="D52" t="s">
        <v>27</v>
      </c>
      <c r="E52" s="15" t="s">
        <v>14</v>
      </c>
      <c r="F52" s="15" t="s">
        <v>28</v>
      </c>
      <c r="G52" s="18">
        <v>44977</v>
      </c>
      <c r="H52" s="24">
        <v>345</v>
      </c>
      <c r="I52" s="23">
        <v>200.78</v>
      </c>
      <c r="J52" s="17">
        <v>350.69</v>
      </c>
      <c r="K52">
        <v>69269.100000000006</v>
      </c>
      <c r="L52" s="22">
        <f>(Table6[[#This Row],[Unit sold Filled]]*Table6[[#This Row],[Unit Price Filled]])-(Table6[[#This Row],[Unit sold Filled]]*Table6[[#This Row],[Unit Cost]])</f>
        <v>-51718.95</v>
      </c>
    </row>
    <row r="53" spans="1:12" x14ac:dyDescent="0.3">
      <c r="A53" s="1" t="s">
        <v>80</v>
      </c>
      <c r="B53" s="3" t="s">
        <v>48</v>
      </c>
      <c r="C53" s="1" t="s">
        <v>50</v>
      </c>
      <c r="D53" t="s">
        <v>19</v>
      </c>
      <c r="E53" s="1" t="s">
        <v>14</v>
      </c>
      <c r="F53" s="1" t="s">
        <v>20</v>
      </c>
      <c r="G53" s="2">
        <v>44978</v>
      </c>
      <c r="H53" s="24">
        <v>177</v>
      </c>
      <c r="I53" s="23">
        <v>305.06</v>
      </c>
      <c r="J53" s="3">
        <v>112.55</v>
      </c>
      <c r="K53">
        <v>53995.62</v>
      </c>
      <c r="L53" s="22">
        <f>(Table6[[#This Row],[Unit sold Filled]]*Table6[[#This Row],[Unit Price Filled]])-(Table6[[#This Row],[Unit sold Filled]]*Table6[[#This Row],[Unit Cost]])</f>
        <v>34074.270000000004</v>
      </c>
    </row>
    <row r="54" spans="1:12" x14ac:dyDescent="0.3">
      <c r="A54" s="15" t="s">
        <v>81</v>
      </c>
      <c r="B54" s="17" t="s">
        <v>11</v>
      </c>
      <c r="C54" s="15" t="s">
        <v>12</v>
      </c>
      <c r="D54" t="s">
        <v>19</v>
      </c>
      <c r="E54" s="15" t="s">
        <v>24</v>
      </c>
      <c r="F54" s="15" t="s">
        <v>15</v>
      </c>
      <c r="G54" s="18">
        <v>44979</v>
      </c>
      <c r="H54" s="24">
        <v>101</v>
      </c>
      <c r="I54" s="23">
        <v>300.87</v>
      </c>
      <c r="J54" s="17">
        <v>340.88</v>
      </c>
      <c r="K54">
        <v>30387.87</v>
      </c>
      <c r="L54" s="22">
        <f>(Table6[[#This Row],[Unit sold Filled]]*Table6[[#This Row],[Unit Price Filled]])-(Table6[[#This Row],[Unit sold Filled]]*Table6[[#This Row],[Unit Cost]])</f>
        <v>-4041.0099999999984</v>
      </c>
    </row>
    <row r="55" spans="1:12" x14ac:dyDescent="0.3">
      <c r="A55" s="1" t="s">
        <v>82</v>
      </c>
      <c r="B55" s="3" t="s">
        <v>17</v>
      </c>
      <c r="C55" s="1" t="s">
        <v>31</v>
      </c>
      <c r="D55" t="s">
        <v>13</v>
      </c>
      <c r="E55" s="1" t="s">
        <v>24</v>
      </c>
      <c r="F55" s="1" t="s">
        <v>20</v>
      </c>
      <c r="G55" s="2">
        <v>44980</v>
      </c>
      <c r="H55" s="24">
        <v>362</v>
      </c>
      <c r="I55" s="23">
        <v>397.51</v>
      </c>
      <c r="J55" s="3">
        <v>2.13</v>
      </c>
      <c r="K55">
        <v>143898.62</v>
      </c>
      <c r="L55" s="22">
        <f>(Table6[[#This Row],[Unit sold Filled]]*Table6[[#This Row],[Unit Price Filled]])-(Table6[[#This Row],[Unit sold Filled]]*Table6[[#This Row],[Unit Cost]])</f>
        <v>143127.56</v>
      </c>
    </row>
    <row r="56" spans="1:12" x14ac:dyDescent="0.3">
      <c r="A56" s="15" t="s">
        <v>83</v>
      </c>
      <c r="B56" s="17" t="s">
        <v>11</v>
      </c>
      <c r="C56" s="15" t="s">
        <v>18</v>
      </c>
      <c r="D56" t="s">
        <v>27</v>
      </c>
      <c r="E56" s="15" t="s">
        <v>24</v>
      </c>
      <c r="F56" s="15" t="s">
        <v>28</v>
      </c>
      <c r="G56" s="18">
        <v>44981</v>
      </c>
      <c r="H56" s="24">
        <v>68</v>
      </c>
      <c r="I56" s="23">
        <v>329.23</v>
      </c>
      <c r="J56" s="17">
        <v>9.0399999999999991</v>
      </c>
      <c r="K56">
        <v>22387.64</v>
      </c>
      <c r="L56" s="22">
        <f>(Table6[[#This Row],[Unit sold Filled]]*Table6[[#This Row],[Unit Price Filled]])-(Table6[[#This Row],[Unit sold Filled]]*Table6[[#This Row],[Unit Cost]])</f>
        <v>21772.92</v>
      </c>
    </row>
    <row r="57" spans="1:12" x14ac:dyDescent="0.3">
      <c r="A57" s="1" t="s">
        <v>84</v>
      </c>
      <c r="B57" s="3" t="s">
        <v>17</v>
      </c>
      <c r="C57" s="1" t="s">
        <v>18</v>
      </c>
      <c r="D57" t="s">
        <v>19</v>
      </c>
      <c r="E57" s="1" t="s">
        <v>24</v>
      </c>
      <c r="F57" s="1" t="s">
        <v>28</v>
      </c>
      <c r="G57" s="2">
        <v>44982</v>
      </c>
      <c r="H57" s="24">
        <v>68</v>
      </c>
      <c r="I57" s="23">
        <v>496.11</v>
      </c>
      <c r="J57" s="3">
        <v>241.82</v>
      </c>
      <c r="K57">
        <v>33735.480000000003</v>
      </c>
      <c r="L57" s="22">
        <f>(Table6[[#This Row],[Unit sold Filled]]*Table6[[#This Row],[Unit Price Filled]])-(Table6[[#This Row],[Unit sold Filled]]*Table6[[#This Row],[Unit Cost]])</f>
        <v>17291.720000000005</v>
      </c>
    </row>
    <row r="58" spans="1:12" x14ac:dyDescent="0.3">
      <c r="A58" s="15" t="s">
        <v>85</v>
      </c>
      <c r="B58" s="17" t="s">
        <v>17</v>
      </c>
      <c r="C58" s="15" t="s">
        <v>12</v>
      </c>
      <c r="D58" t="s">
        <v>19</v>
      </c>
      <c r="E58" s="15" t="s">
        <v>14</v>
      </c>
      <c r="F58" s="15" t="s">
        <v>15</v>
      </c>
      <c r="G58" s="18">
        <v>44983</v>
      </c>
      <c r="H58" s="24">
        <v>313</v>
      </c>
      <c r="I58" s="23">
        <v>145.51</v>
      </c>
      <c r="J58" s="17">
        <v>147.19</v>
      </c>
      <c r="K58">
        <v>45544.63</v>
      </c>
      <c r="L58" s="22">
        <f>(Table6[[#This Row],[Unit sold Filled]]*Table6[[#This Row],[Unit Price Filled]])-(Table6[[#This Row],[Unit sold Filled]]*Table6[[#This Row],[Unit Cost]])</f>
        <v>-525.84000000000378</v>
      </c>
    </row>
    <row r="59" spans="1:12" x14ac:dyDescent="0.3">
      <c r="A59" s="1" t="s">
        <v>86</v>
      </c>
      <c r="B59" s="3" t="s">
        <v>22</v>
      </c>
      <c r="C59" s="1" t="s">
        <v>31</v>
      </c>
      <c r="D59" t="s">
        <v>27</v>
      </c>
      <c r="E59" s="1" t="s">
        <v>14</v>
      </c>
      <c r="F59" s="1" t="s">
        <v>28</v>
      </c>
      <c r="G59" s="2">
        <v>44984</v>
      </c>
      <c r="H59" s="24">
        <v>178</v>
      </c>
      <c r="I59" s="23">
        <v>182.78</v>
      </c>
      <c r="J59" s="3">
        <v>155.81</v>
      </c>
      <c r="K59">
        <v>32534.84</v>
      </c>
      <c r="L59" s="22">
        <f>(Table6[[#This Row],[Unit sold Filled]]*Table6[[#This Row],[Unit Price Filled]])-(Table6[[#This Row],[Unit sold Filled]]*Table6[[#This Row],[Unit Cost]])</f>
        <v>4800.66</v>
      </c>
    </row>
    <row r="60" spans="1:12" x14ac:dyDescent="0.3">
      <c r="A60" s="15" t="s">
        <v>87</v>
      </c>
      <c r="B60" s="17" t="s">
        <v>11</v>
      </c>
      <c r="C60" s="15" t="s">
        <v>31</v>
      </c>
      <c r="D60" t="s">
        <v>27</v>
      </c>
      <c r="E60" s="15" t="s">
        <v>14</v>
      </c>
      <c r="F60" s="15" t="s">
        <v>15</v>
      </c>
      <c r="G60" s="18">
        <v>44985</v>
      </c>
      <c r="H60" s="24">
        <v>278</v>
      </c>
      <c r="I60" s="23">
        <v>195</v>
      </c>
      <c r="J60" s="17">
        <v>226.65</v>
      </c>
      <c r="K60">
        <v>54210</v>
      </c>
      <c r="L60" s="22">
        <f>(Table6[[#This Row],[Unit sold Filled]]*Table6[[#This Row],[Unit Price Filled]])-(Table6[[#This Row],[Unit sold Filled]]*Table6[[#This Row],[Unit Cost]])</f>
        <v>-8798.7000000000044</v>
      </c>
    </row>
    <row r="61" spans="1:12" x14ac:dyDescent="0.3">
      <c r="A61" s="1" t="s">
        <v>88</v>
      </c>
      <c r="B61" s="3" t="s">
        <v>22</v>
      </c>
      <c r="C61" s="1" t="s">
        <v>50</v>
      </c>
      <c r="D61" t="s">
        <v>19</v>
      </c>
      <c r="E61" s="1" t="s">
        <v>14</v>
      </c>
      <c r="F61" s="1" t="s">
        <v>28</v>
      </c>
      <c r="G61" s="2">
        <v>44986</v>
      </c>
      <c r="H61" s="24">
        <v>372</v>
      </c>
      <c r="I61" s="23">
        <v>235.58</v>
      </c>
      <c r="J61" s="3">
        <v>78.33</v>
      </c>
      <c r="K61">
        <v>87635.760000000009</v>
      </c>
      <c r="L61" s="22">
        <f>(Table6[[#This Row],[Unit sold Filled]]*Table6[[#This Row],[Unit Price Filled]])-(Table6[[#This Row],[Unit sold Filled]]*Table6[[#This Row],[Unit Cost]])</f>
        <v>58497.000000000015</v>
      </c>
    </row>
    <row r="62" spans="1:12" x14ac:dyDescent="0.3">
      <c r="A62" s="15" t="s">
        <v>89</v>
      </c>
      <c r="B62" s="17" t="s">
        <v>11</v>
      </c>
      <c r="C62" s="15" t="s">
        <v>31</v>
      </c>
      <c r="D62" t="s">
        <v>27</v>
      </c>
      <c r="E62" s="15" t="s">
        <v>24</v>
      </c>
      <c r="F62" s="15" t="s">
        <v>28</v>
      </c>
      <c r="G62" s="18">
        <v>44987</v>
      </c>
      <c r="H62" s="24">
        <v>54</v>
      </c>
      <c r="I62" s="23">
        <v>418.82</v>
      </c>
      <c r="J62" s="17">
        <v>86.28</v>
      </c>
      <c r="K62">
        <v>22616.28</v>
      </c>
      <c r="L62" s="22">
        <f>(Table6[[#This Row],[Unit sold Filled]]*Table6[[#This Row],[Unit Price Filled]])-(Table6[[#This Row],[Unit sold Filled]]*Table6[[#This Row],[Unit Cost]])</f>
        <v>17957.16</v>
      </c>
    </row>
    <row r="63" spans="1:12" x14ac:dyDescent="0.3">
      <c r="A63" s="1" t="s">
        <v>90</v>
      </c>
      <c r="B63" s="3" t="s">
        <v>11</v>
      </c>
      <c r="C63" s="1" t="s">
        <v>31</v>
      </c>
      <c r="D63" t="s">
        <v>19</v>
      </c>
      <c r="E63" s="1" t="s">
        <v>24</v>
      </c>
      <c r="F63" s="1" t="s">
        <v>15</v>
      </c>
      <c r="G63" s="2">
        <v>44988</v>
      </c>
      <c r="H63" s="24">
        <v>354</v>
      </c>
      <c r="I63" s="23">
        <v>121.72</v>
      </c>
      <c r="J63" s="3">
        <v>194.87</v>
      </c>
      <c r="K63">
        <v>43088.88</v>
      </c>
      <c r="L63" s="22">
        <f>(Table6[[#This Row],[Unit sold Filled]]*Table6[[#This Row],[Unit Price Filled]])-(Table6[[#This Row],[Unit sold Filled]]*Table6[[#This Row],[Unit Cost]])</f>
        <v>-25895.1</v>
      </c>
    </row>
    <row r="64" spans="1:12" x14ac:dyDescent="0.3">
      <c r="A64" s="15" t="s">
        <v>91</v>
      </c>
      <c r="B64" s="17" t="s">
        <v>22</v>
      </c>
      <c r="C64" s="15" t="s">
        <v>31</v>
      </c>
      <c r="D64" t="s">
        <v>19</v>
      </c>
      <c r="E64" s="15" t="s">
        <v>14</v>
      </c>
      <c r="F64" s="15" t="s">
        <v>15</v>
      </c>
      <c r="G64" s="18">
        <v>44989</v>
      </c>
      <c r="H64" s="24">
        <v>190</v>
      </c>
      <c r="I64" s="23">
        <v>389.12</v>
      </c>
      <c r="J64" s="17">
        <v>302.19</v>
      </c>
      <c r="K64">
        <v>73932.800000000003</v>
      </c>
      <c r="L64" s="22">
        <f>(Table6[[#This Row],[Unit sold Filled]]*Table6[[#This Row],[Unit Price Filled]])-(Table6[[#This Row],[Unit sold Filled]]*Table6[[#This Row],[Unit Cost]])</f>
        <v>16516.700000000004</v>
      </c>
    </row>
    <row r="65" spans="1:12" x14ac:dyDescent="0.3">
      <c r="A65" s="1" t="s">
        <v>92</v>
      </c>
      <c r="B65" s="3" t="s">
        <v>17</v>
      </c>
      <c r="C65" s="1" t="s">
        <v>26</v>
      </c>
      <c r="D65" t="s">
        <v>13</v>
      </c>
      <c r="E65" s="1" t="s">
        <v>14</v>
      </c>
      <c r="F65" s="1" t="s">
        <v>15</v>
      </c>
      <c r="G65" s="2">
        <v>44990</v>
      </c>
      <c r="H65" s="24">
        <v>179</v>
      </c>
      <c r="I65" s="23">
        <v>205.63</v>
      </c>
      <c r="J65" s="3">
        <v>248.56</v>
      </c>
      <c r="K65">
        <v>36807.769999999997</v>
      </c>
      <c r="L65" s="22">
        <f>(Table6[[#This Row],[Unit sold Filled]]*Table6[[#This Row],[Unit Price Filled]])-(Table6[[#This Row],[Unit sold Filled]]*Table6[[#This Row],[Unit Cost]])</f>
        <v>-7684.4700000000012</v>
      </c>
    </row>
    <row r="66" spans="1:12" x14ac:dyDescent="0.3">
      <c r="A66" s="15" t="s">
        <v>93</v>
      </c>
      <c r="B66" s="17" t="s">
        <v>11</v>
      </c>
      <c r="C66" s="15" t="s">
        <v>50</v>
      </c>
      <c r="D66" t="s">
        <v>42</v>
      </c>
      <c r="E66" s="15" t="s">
        <v>24</v>
      </c>
      <c r="F66" s="15" t="s">
        <v>28</v>
      </c>
      <c r="G66" s="18">
        <v>44991</v>
      </c>
      <c r="H66" s="24">
        <v>365</v>
      </c>
      <c r="I66" s="23">
        <v>302.92</v>
      </c>
      <c r="J66" s="17">
        <v>120.35</v>
      </c>
      <c r="K66">
        <v>110565.8</v>
      </c>
      <c r="L66" s="22">
        <f>(Table6[[#This Row],[Unit sold Filled]]*Table6[[#This Row],[Unit Price Filled]])-(Table6[[#This Row],[Unit sold Filled]]*Table6[[#This Row],[Unit Cost]])</f>
        <v>66638.05</v>
      </c>
    </row>
    <row r="67" spans="1:12" x14ac:dyDescent="0.3">
      <c r="A67" s="1" t="s">
        <v>94</v>
      </c>
      <c r="B67" s="3" t="s">
        <v>48</v>
      </c>
      <c r="C67" s="1" t="s">
        <v>18</v>
      </c>
      <c r="D67" t="s">
        <v>19</v>
      </c>
      <c r="E67" s="1" t="s">
        <v>14</v>
      </c>
      <c r="F67" s="1" t="s">
        <v>28</v>
      </c>
      <c r="G67" s="2">
        <v>44992</v>
      </c>
      <c r="H67" s="24">
        <v>200</v>
      </c>
      <c r="I67" s="23">
        <v>318.11</v>
      </c>
      <c r="J67" s="3">
        <v>173.27</v>
      </c>
      <c r="K67">
        <v>63622</v>
      </c>
      <c r="L67" s="22">
        <f>(Table6[[#This Row],[Unit sold Filled]]*Table6[[#This Row],[Unit Price Filled]])-(Table6[[#This Row],[Unit sold Filled]]*Table6[[#This Row],[Unit Cost]])</f>
        <v>28968</v>
      </c>
    </row>
    <row r="68" spans="1:12" x14ac:dyDescent="0.3">
      <c r="A68" s="15" t="s">
        <v>95</v>
      </c>
      <c r="B68" s="17" t="s">
        <v>17</v>
      </c>
      <c r="C68" s="15" t="s">
        <v>12</v>
      </c>
      <c r="D68" t="s">
        <v>23</v>
      </c>
      <c r="E68" s="15" t="s">
        <v>24</v>
      </c>
      <c r="F68" s="15" t="s">
        <v>20</v>
      </c>
      <c r="G68" s="18">
        <v>44993</v>
      </c>
      <c r="H68" s="24">
        <v>164</v>
      </c>
      <c r="I68" s="23">
        <v>189.56</v>
      </c>
      <c r="J68" s="17">
        <v>69.92</v>
      </c>
      <c r="K68">
        <v>31087.84</v>
      </c>
      <c r="L68" s="22">
        <f>(Table6[[#This Row],[Unit sold Filled]]*Table6[[#This Row],[Unit Price Filled]])-(Table6[[#This Row],[Unit sold Filled]]*Table6[[#This Row],[Unit Cost]])</f>
        <v>19620.96</v>
      </c>
    </row>
    <row r="69" spans="1:12" x14ac:dyDescent="0.3">
      <c r="A69" s="1" t="s">
        <v>96</v>
      </c>
      <c r="B69" s="3" t="s">
        <v>22</v>
      </c>
      <c r="C69" s="1" t="s">
        <v>18</v>
      </c>
      <c r="D69" t="s">
        <v>42</v>
      </c>
      <c r="E69" s="1" t="s">
        <v>14</v>
      </c>
      <c r="F69" s="1" t="s">
        <v>15</v>
      </c>
      <c r="G69" s="2">
        <v>44994</v>
      </c>
      <c r="H69" s="24">
        <v>431</v>
      </c>
      <c r="I69" s="23">
        <v>258.74</v>
      </c>
      <c r="J69" s="3">
        <v>31.7</v>
      </c>
      <c r="K69">
        <v>111516.94</v>
      </c>
      <c r="L69" s="22">
        <f>(Table6[[#This Row],[Unit sold Filled]]*Table6[[#This Row],[Unit Price Filled]])-(Table6[[#This Row],[Unit sold Filled]]*Table6[[#This Row],[Unit Cost]])</f>
        <v>97854.24</v>
      </c>
    </row>
    <row r="70" spans="1:12" x14ac:dyDescent="0.3">
      <c r="A70" s="15" t="s">
        <v>97</v>
      </c>
      <c r="B70" s="17" t="s">
        <v>17</v>
      </c>
      <c r="C70" s="15" t="s">
        <v>50</v>
      </c>
      <c r="D70" t="s">
        <v>42</v>
      </c>
      <c r="E70" s="15" t="s">
        <v>14</v>
      </c>
      <c r="F70" s="15" t="s">
        <v>28</v>
      </c>
      <c r="G70" s="18">
        <v>44995</v>
      </c>
      <c r="H70" s="24">
        <v>197</v>
      </c>
      <c r="I70" s="23">
        <v>209.45</v>
      </c>
      <c r="J70" s="17">
        <v>313.51</v>
      </c>
      <c r="K70">
        <v>41261.649999999994</v>
      </c>
      <c r="L70" s="22">
        <f>(Table6[[#This Row],[Unit sold Filled]]*Table6[[#This Row],[Unit Price Filled]])-(Table6[[#This Row],[Unit sold Filled]]*Table6[[#This Row],[Unit Cost]])</f>
        <v>-20499.820000000007</v>
      </c>
    </row>
    <row r="71" spans="1:12" x14ac:dyDescent="0.3">
      <c r="A71" s="1" t="s">
        <v>98</v>
      </c>
      <c r="B71" s="3" t="s">
        <v>48</v>
      </c>
      <c r="C71" s="1" t="s">
        <v>12</v>
      </c>
      <c r="D71" t="s">
        <v>42</v>
      </c>
      <c r="E71" s="1" t="s">
        <v>14</v>
      </c>
      <c r="F71" s="1" t="s">
        <v>28</v>
      </c>
      <c r="G71" s="2">
        <v>44996</v>
      </c>
      <c r="H71" s="24">
        <v>16</v>
      </c>
      <c r="I71" s="23">
        <v>39.22</v>
      </c>
      <c r="J71" s="3">
        <v>107.62</v>
      </c>
      <c r="K71">
        <v>627.52</v>
      </c>
      <c r="L71" s="22">
        <f>(Table6[[#This Row],[Unit sold Filled]]*Table6[[#This Row],[Unit Price Filled]])-(Table6[[#This Row],[Unit sold Filled]]*Table6[[#This Row],[Unit Cost]])</f>
        <v>-1094.4000000000001</v>
      </c>
    </row>
    <row r="72" spans="1:12" x14ac:dyDescent="0.3">
      <c r="A72" s="15" t="s">
        <v>99</v>
      </c>
      <c r="B72" s="17" t="s">
        <v>48</v>
      </c>
      <c r="C72" s="15" t="s">
        <v>50</v>
      </c>
      <c r="D72" t="s">
        <v>13</v>
      </c>
      <c r="E72" s="15" t="s">
        <v>14</v>
      </c>
      <c r="F72" s="15" t="s">
        <v>15</v>
      </c>
      <c r="G72" s="18">
        <v>44997</v>
      </c>
      <c r="H72" s="24">
        <v>142</v>
      </c>
      <c r="I72" s="23">
        <v>221.4</v>
      </c>
      <c r="J72" s="17">
        <v>72.75</v>
      </c>
      <c r="K72">
        <v>31438.799999999999</v>
      </c>
      <c r="L72" s="22">
        <f>(Table6[[#This Row],[Unit sold Filled]]*Table6[[#This Row],[Unit Price Filled]])-(Table6[[#This Row],[Unit sold Filled]]*Table6[[#This Row],[Unit Cost]])</f>
        <v>21108.3</v>
      </c>
    </row>
    <row r="73" spans="1:12" x14ac:dyDescent="0.3">
      <c r="A73" s="1" t="s">
        <v>100</v>
      </c>
      <c r="B73" s="3" t="s">
        <v>48</v>
      </c>
      <c r="C73" s="1" t="s">
        <v>31</v>
      </c>
      <c r="D73" t="s">
        <v>19</v>
      </c>
      <c r="E73" s="1" t="s">
        <v>14</v>
      </c>
      <c r="F73" s="1" t="s">
        <v>20</v>
      </c>
      <c r="G73" s="2">
        <v>44998</v>
      </c>
      <c r="H73" s="24">
        <v>244</v>
      </c>
      <c r="I73" s="23">
        <v>53.21</v>
      </c>
      <c r="J73" s="3">
        <v>277.26</v>
      </c>
      <c r="K73">
        <v>12983.24</v>
      </c>
      <c r="L73" s="22">
        <f>(Table6[[#This Row],[Unit sold Filled]]*Table6[[#This Row],[Unit Price Filled]])-(Table6[[#This Row],[Unit sold Filled]]*Table6[[#This Row],[Unit Cost]])</f>
        <v>-54668.200000000004</v>
      </c>
    </row>
    <row r="74" spans="1:12" x14ac:dyDescent="0.3">
      <c r="A74" s="15" t="s">
        <v>101</v>
      </c>
      <c r="B74" s="17" t="s">
        <v>22</v>
      </c>
      <c r="C74" s="15" t="s">
        <v>12</v>
      </c>
      <c r="D74" t="s">
        <v>13</v>
      </c>
      <c r="E74" s="15" t="s">
        <v>14</v>
      </c>
      <c r="F74" s="15" t="s">
        <v>15</v>
      </c>
      <c r="G74" s="18">
        <v>44999</v>
      </c>
      <c r="H74" s="24">
        <v>54</v>
      </c>
      <c r="I74" s="23">
        <v>205.49</v>
      </c>
      <c r="J74" s="17">
        <v>247.98</v>
      </c>
      <c r="K74">
        <v>11096.460000000001</v>
      </c>
      <c r="L74" s="22">
        <f>(Table6[[#This Row],[Unit sold Filled]]*Table6[[#This Row],[Unit Price Filled]])-(Table6[[#This Row],[Unit sold Filled]]*Table6[[#This Row],[Unit Cost]])</f>
        <v>-2294.4599999999991</v>
      </c>
    </row>
    <row r="75" spans="1:12" x14ac:dyDescent="0.3">
      <c r="A75" s="1" t="s">
        <v>102</v>
      </c>
      <c r="B75" s="3" t="s">
        <v>48</v>
      </c>
      <c r="C75" s="1" t="s">
        <v>31</v>
      </c>
      <c r="D75" t="s">
        <v>19</v>
      </c>
      <c r="E75" s="1" t="s">
        <v>14</v>
      </c>
      <c r="F75" s="1" t="s">
        <v>20</v>
      </c>
      <c r="G75" s="2">
        <v>45000</v>
      </c>
      <c r="H75" s="24">
        <v>323</v>
      </c>
      <c r="I75" s="23">
        <v>298.49</v>
      </c>
      <c r="J75" s="3">
        <v>254.01</v>
      </c>
      <c r="K75">
        <v>96412.27</v>
      </c>
      <c r="L75" s="22">
        <f>(Table6[[#This Row],[Unit sold Filled]]*Table6[[#This Row],[Unit Price Filled]])-(Table6[[#This Row],[Unit sold Filled]]*Table6[[#This Row],[Unit Cost]])</f>
        <v>14367.040000000008</v>
      </c>
    </row>
    <row r="76" spans="1:12" x14ac:dyDescent="0.3">
      <c r="A76" s="15" t="s">
        <v>103</v>
      </c>
      <c r="B76" s="17" t="s">
        <v>22</v>
      </c>
      <c r="C76" s="15" t="s">
        <v>18</v>
      </c>
      <c r="D76" t="s">
        <v>13</v>
      </c>
      <c r="E76" s="15" t="s">
        <v>24</v>
      </c>
      <c r="F76" s="15" t="s">
        <v>28</v>
      </c>
      <c r="G76" s="18">
        <v>45001</v>
      </c>
      <c r="H76" s="24">
        <v>258</v>
      </c>
      <c r="I76" s="23">
        <v>291.81</v>
      </c>
      <c r="J76" s="17">
        <v>93.1</v>
      </c>
      <c r="K76">
        <v>75286.98</v>
      </c>
      <c r="L76" s="22">
        <f>(Table6[[#This Row],[Unit sold Filled]]*Table6[[#This Row],[Unit Price Filled]])-(Table6[[#This Row],[Unit sold Filled]]*Table6[[#This Row],[Unit Cost]])</f>
        <v>51267.179999999993</v>
      </c>
    </row>
    <row r="77" spans="1:12" x14ac:dyDescent="0.3">
      <c r="A77" s="1" t="s">
        <v>104</v>
      </c>
      <c r="B77" s="3" t="s">
        <v>48</v>
      </c>
      <c r="C77" s="1" t="s">
        <v>18</v>
      </c>
      <c r="D77" t="s">
        <v>13</v>
      </c>
      <c r="E77" s="1" t="s">
        <v>24</v>
      </c>
      <c r="F77" s="1" t="s">
        <v>20</v>
      </c>
      <c r="G77" s="2">
        <v>45002</v>
      </c>
      <c r="H77" s="24">
        <v>40</v>
      </c>
      <c r="I77" s="23">
        <v>333</v>
      </c>
      <c r="J77" s="3">
        <v>94.59</v>
      </c>
      <c r="K77">
        <v>13320</v>
      </c>
      <c r="L77" s="22">
        <f>(Table6[[#This Row],[Unit sold Filled]]*Table6[[#This Row],[Unit Price Filled]])-(Table6[[#This Row],[Unit sold Filled]]*Table6[[#This Row],[Unit Cost]])</f>
        <v>9536.4</v>
      </c>
    </row>
    <row r="78" spans="1:12" x14ac:dyDescent="0.3">
      <c r="A78" s="15" t="s">
        <v>105</v>
      </c>
      <c r="B78" s="17" t="s">
        <v>17</v>
      </c>
      <c r="C78" s="15" t="s">
        <v>12</v>
      </c>
      <c r="D78" t="s">
        <v>23</v>
      </c>
      <c r="E78" s="15" t="s">
        <v>24</v>
      </c>
      <c r="F78" s="15" t="s">
        <v>28</v>
      </c>
      <c r="G78" s="18">
        <v>45003</v>
      </c>
      <c r="H78" s="24">
        <v>32</v>
      </c>
      <c r="I78" s="23">
        <v>52.15</v>
      </c>
      <c r="J78" s="17">
        <v>89.88</v>
      </c>
      <c r="K78">
        <v>1668.8</v>
      </c>
      <c r="L78" s="22">
        <f>(Table6[[#This Row],[Unit sold Filled]]*Table6[[#This Row],[Unit Price Filled]])-(Table6[[#This Row],[Unit sold Filled]]*Table6[[#This Row],[Unit Cost]])</f>
        <v>-1207.3599999999999</v>
      </c>
    </row>
    <row r="79" spans="1:12" x14ac:dyDescent="0.3">
      <c r="A79" s="1" t="s">
        <v>106</v>
      </c>
      <c r="B79" s="3" t="s">
        <v>17</v>
      </c>
      <c r="C79" s="1" t="s">
        <v>12</v>
      </c>
      <c r="D79" t="s">
        <v>13</v>
      </c>
      <c r="E79" s="1" t="s">
        <v>24</v>
      </c>
      <c r="F79" s="1" t="s">
        <v>15</v>
      </c>
      <c r="G79" s="2">
        <v>45004</v>
      </c>
      <c r="H79" s="24">
        <v>435</v>
      </c>
      <c r="I79" s="23">
        <v>327.8</v>
      </c>
      <c r="J79" s="3">
        <v>71.150000000000006</v>
      </c>
      <c r="K79">
        <v>142593</v>
      </c>
      <c r="L79" s="22">
        <f>(Table6[[#This Row],[Unit sold Filled]]*Table6[[#This Row],[Unit Price Filled]])-(Table6[[#This Row],[Unit sold Filled]]*Table6[[#This Row],[Unit Cost]])</f>
        <v>111642.75</v>
      </c>
    </row>
    <row r="80" spans="1:12" x14ac:dyDescent="0.3">
      <c r="A80" s="15" t="s">
        <v>107</v>
      </c>
      <c r="B80" s="17" t="s">
        <v>11</v>
      </c>
      <c r="C80" s="15" t="s">
        <v>50</v>
      </c>
      <c r="D80" t="s">
        <v>27</v>
      </c>
      <c r="E80" s="15" t="s">
        <v>24</v>
      </c>
      <c r="F80" s="15" t="s">
        <v>15</v>
      </c>
      <c r="G80" s="18">
        <v>45005</v>
      </c>
      <c r="H80" s="24">
        <v>403</v>
      </c>
      <c r="I80" s="23">
        <v>159.51</v>
      </c>
      <c r="J80" s="17">
        <v>262.98</v>
      </c>
      <c r="K80">
        <v>64282.53</v>
      </c>
      <c r="L80" s="22">
        <f>(Table6[[#This Row],[Unit sold Filled]]*Table6[[#This Row],[Unit Price Filled]])-(Table6[[#This Row],[Unit sold Filled]]*Table6[[#This Row],[Unit Cost]])</f>
        <v>-41698.410000000003</v>
      </c>
    </row>
    <row r="81" spans="1:12" x14ac:dyDescent="0.3">
      <c r="A81" s="1" t="s">
        <v>108</v>
      </c>
      <c r="B81" s="3" t="s">
        <v>17</v>
      </c>
      <c r="C81" s="1" t="s">
        <v>50</v>
      </c>
      <c r="D81" t="s">
        <v>23</v>
      </c>
      <c r="E81" s="1" t="s">
        <v>14</v>
      </c>
      <c r="F81" s="1" t="s">
        <v>15</v>
      </c>
      <c r="G81" s="2">
        <v>45006</v>
      </c>
      <c r="H81" s="24">
        <v>169</v>
      </c>
      <c r="I81" s="23">
        <v>249.64520588235297</v>
      </c>
      <c r="J81" s="3">
        <v>339.51</v>
      </c>
      <c r="K81">
        <v>42190.039794117649</v>
      </c>
      <c r="L81" s="22">
        <f>(Table6[[#This Row],[Unit sold Filled]]*Table6[[#This Row],[Unit Price Filled]])-(Table6[[#This Row],[Unit sold Filled]]*Table6[[#This Row],[Unit Cost]])</f>
        <v>-15187.150205882346</v>
      </c>
    </row>
    <row r="82" spans="1:12" x14ac:dyDescent="0.3">
      <c r="A82" s="15" t="s">
        <v>109</v>
      </c>
      <c r="B82" s="17" t="s">
        <v>11</v>
      </c>
      <c r="C82" s="15" t="s">
        <v>31</v>
      </c>
      <c r="D82" t="s">
        <v>13</v>
      </c>
      <c r="E82" s="15" t="s">
        <v>14</v>
      </c>
      <c r="F82" s="15" t="s">
        <v>20</v>
      </c>
      <c r="G82" s="18">
        <v>45007</v>
      </c>
      <c r="H82" s="24">
        <v>372</v>
      </c>
      <c r="I82" s="23">
        <v>429.7</v>
      </c>
      <c r="J82" s="17">
        <v>290.27999999999997</v>
      </c>
      <c r="K82">
        <v>159848.4</v>
      </c>
      <c r="L82" s="22">
        <f>(Table6[[#This Row],[Unit sold Filled]]*Table6[[#This Row],[Unit Price Filled]])-(Table6[[#This Row],[Unit sold Filled]]*Table6[[#This Row],[Unit Cost]])</f>
        <v>51864.240000000005</v>
      </c>
    </row>
    <row r="83" spans="1:12" x14ac:dyDescent="0.3">
      <c r="A83" s="1" t="s">
        <v>110</v>
      </c>
      <c r="B83" s="3" t="s">
        <v>17</v>
      </c>
      <c r="C83" s="1" t="s">
        <v>12</v>
      </c>
      <c r="D83" t="s">
        <v>42</v>
      </c>
      <c r="E83" s="1" t="s">
        <v>24</v>
      </c>
      <c r="F83" s="1" t="s">
        <v>28</v>
      </c>
      <c r="G83" s="2">
        <v>45008</v>
      </c>
      <c r="H83" s="24">
        <v>446</v>
      </c>
      <c r="I83" s="23">
        <v>9.4700000000000006</v>
      </c>
      <c r="J83" s="3">
        <v>317.25</v>
      </c>
      <c r="K83">
        <v>4223.62</v>
      </c>
      <c r="L83" s="22">
        <f>(Table6[[#This Row],[Unit sold Filled]]*Table6[[#This Row],[Unit Price Filled]])-(Table6[[#This Row],[Unit sold Filled]]*Table6[[#This Row],[Unit Cost]])</f>
        <v>-137269.88</v>
      </c>
    </row>
    <row r="84" spans="1:12" x14ac:dyDescent="0.3">
      <c r="A84" s="15" t="s">
        <v>111</v>
      </c>
      <c r="B84" s="17" t="s">
        <v>22</v>
      </c>
      <c r="C84" s="15" t="s">
        <v>18</v>
      </c>
      <c r="D84" t="s">
        <v>27</v>
      </c>
      <c r="E84" s="15" t="s">
        <v>14</v>
      </c>
      <c r="F84" s="15" t="s">
        <v>15</v>
      </c>
      <c r="G84" s="18">
        <v>45009</v>
      </c>
      <c r="H84" s="24">
        <v>167</v>
      </c>
      <c r="I84" s="23">
        <v>296.26</v>
      </c>
      <c r="J84" s="17">
        <v>163.11000000000001</v>
      </c>
      <c r="K84">
        <v>49475.42</v>
      </c>
      <c r="L84" s="22">
        <f>(Table6[[#This Row],[Unit sold Filled]]*Table6[[#This Row],[Unit Price Filled]])-(Table6[[#This Row],[Unit sold Filled]]*Table6[[#This Row],[Unit Cost]])</f>
        <v>22236.049999999996</v>
      </c>
    </row>
    <row r="85" spans="1:12" x14ac:dyDescent="0.3">
      <c r="A85" s="1" t="s">
        <v>112</v>
      </c>
      <c r="B85" s="3" t="s">
        <v>17</v>
      </c>
      <c r="C85" s="1" t="s">
        <v>50</v>
      </c>
      <c r="D85" t="s">
        <v>27</v>
      </c>
      <c r="E85" s="1" t="s">
        <v>24</v>
      </c>
      <c r="F85" s="1" t="s">
        <v>15</v>
      </c>
      <c r="G85" s="2">
        <v>45010</v>
      </c>
      <c r="H85" s="24">
        <v>48</v>
      </c>
      <c r="I85" s="23">
        <v>301.36</v>
      </c>
      <c r="J85" s="3">
        <v>262.32</v>
      </c>
      <c r="K85">
        <v>14465.28</v>
      </c>
      <c r="L85" s="22">
        <f>(Table6[[#This Row],[Unit sold Filled]]*Table6[[#This Row],[Unit Price Filled]])-(Table6[[#This Row],[Unit sold Filled]]*Table6[[#This Row],[Unit Cost]])</f>
        <v>1873.92</v>
      </c>
    </row>
    <row r="86" spans="1:12" x14ac:dyDescent="0.3">
      <c r="A86" s="15" t="s">
        <v>113</v>
      </c>
      <c r="B86" s="17" t="s">
        <v>11</v>
      </c>
      <c r="C86" s="15" t="s">
        <v>50</v>
      </c>
      <c r="D86" t="s">
        <v>27</v>
      </c>
      <c r="E86" s="15" t="s">
        <v>24</v>
      </c>
      <c r="F86" s="15" t="s">
        <v>28</v>
      </c>
      <c r="G86" s="18">
        <v>45011</v>
      </c>
      <c r="H86" s="24">
        <v>424</v>
      </c>
      <c r="I86" s="23">
        <v>201.35</v>
      </c>
      <c r="J86" s="17">
        <v>142.99</v>
      </c>
      <c r="K86">
        <v>85372.4</v>
      </c>
      <c r="L86" s="22">
        <f>(Table6[[#This Row],[Unit sold Filled]]*Table6[[#This Row],[Unit Price Filled]])-(Table6[[#This Row],[Unit sold Filled]]*Table6[[#This Row],[Unit Cost]])</f>
        <v>24744.639999999992</v>
      </c>
    </row>
    <row r="87" spans="1:12" x14ac:dyDescent="0.3">
      <c r="A87" s="1" t="s">
        <v>114</v>
      </c>
      <c r="B87" s="3" t="s">
        <v>11</v>
      </c>
      <c r="C87" s="1" t="s">
        <v>18</v>
      </c>
      <c r="D87" t="s">
        <v>23</v>
      </c>
      <c r="E87" s="1" t="s">
        <v>14</v>
      </c>
      <c r="F87" s="1" t="s">
        <v>15</v>
      </c>
      <c r="G87" s="2">
        <v>45012</v>
      </c>
      <c r="H87" s="24">
        <v>91</v>
      </c>
      <c r="I87" s="23">
        <v>122.33</v>
      </c>
      <c r="J87" s="3">
        <v>211.15</v>
      </c>
      <c r="K87">
        <v>11132.03</v>
      </c>
      <c r="L87" s="22">
        <f>(Table6[[#This Row],[Unit sold Filled]]*Table6[[#This Row],[Unit Price Filled]])-(Table6[[#This Row],[Unit sold Filled]]*Table6[[#This Row],[Unit Cost]])</f>
        <v>-8082.6200000000008</v>
      </c>
    </row>
    <row r="88" spans="1:12" x14ac:dyDescent="0.3">
      <c r="A88" s="15" t="s">
        <v>115</v>
      </c>
      <c r="B88" s="17" t="s">
        <v>48</v>
      </c>
      <c r="C88" s="15" t="s">
        <v>50</v>
      </c>
      <c r="D88" t="s">
        <v>13</v>
      </c>
      <c r="E88" s="15" t="s">
        <v>14</v>
      </c>
      <c r="F88" s="15" t="s">
        <v>28</v>
      </c>
      <c r="G88" s="18">
        <v>45013</v>
      </c>
      <c r="H88" s="24">
        <v>365</v>
      </c>
      <c r="I88" s="23">
        <v>121.16</v>
      </c>
      <c r="J88" s="17">
        <v>193.69</v>
      </c>
      <c r="K88">
        <v>44223.4</v>
      </c>
      <c r="L88" s="22">
        <f>(Table6[[#This Row],[Unit sold Filled]]*Table6[[#This Row],[Unit Price Filled]])-(Table6[[#This Row],[Unit sold Filled]]*Table6[[#This Row],[Unit Cost]])</f>
        <v>-26473.450000000004</v>
      </c>
    </row>
    <row r="89" spans="1:12" x14ac:dyDescent="0.3">
      <c r="A89" s="1" t="s">
        <v>116</v>
      </c>
      <c r="B89" s="3" t="s">
        <v>22</v>
      </c>
      <c r="C89" s="1" t="s">
        <v>31</v>
      </c>
      <c r="D89" t="s">
        <v>13</v>
      </c>
      <c r="E89" s="1" t="s">
        <v>14</v>
      </c>
      <c r="F89" s="1" t="s">
        <v>28</v>
      </c>
      <c r="G89" s="2">
        <v>45014</v>
      </c>
      <c r="H89" s="24">
        <v>267</v>
      </c>
      <c r="I89" s="23">
        <v>442.44</v>
      </c>
      <c r="J89" s="3">
        <v>72.400000000000006</v>
      </c>
      <c r="K89">
        <v>118131.48</v>
      </c>
      <c r="L89" s="22">
        <f>(Table6[[#This Row],[Unit sold Filled]]*Table6[[#This Row],[Unit Price Filled]])-(Table6[[#This Row],[Unit sold Filled]]*Table6[[#This Row],[Unit Cost]])</f>
        <v>98800.68</v>
      </c>
    </row>
    <row r="90" spans="1:12" x14ac:dyDescent="0.3">
      <c r="A90" s="15" t="s">
        <v>117</v>
      </c>
      <c r="B90" s="17" t="s">
        <v>17</v>
      </c>
      <c r="C90" s="15" t="s">
        <v>12</v>
      </c>
      <c r="D90" t="s">
        <v>42</v>
      </c>
      <c r="E90" s="15" t="s">
        <v>24</v>
      </c>
      <c r="F90" s="15" t="s">
        <v>28</v>
      </c>
      <c r="G90" s="18">
        <v>45015</v>
      </c>
      <c r="H90" s="24">
        <v>215</v>
      </c>
      <c r="I90" s="23">
        <v>223.8</v>
      </c>
      <c r="J90" s="17">
        <v>156.06</v>
      </c>
      <c r="K90">
        <v>48117</v>
      </c>
      <c r="L90" s="22">
        <f>(Table6[[#This Row],[Unit sold Filled]]*Table6[[#This Row],[Unit Price Filled]])-(Table6[[#This Row],[Unit sold Filled]]*Table6[[#This Row],[Unit Cost]])</f>
        <v>14564.099999999999</v>
      </c>
    </row>
    <row r="91" spans="1:12" x14ac:dyDescent="0.3">
      <c r="A91" s="1" t="s">
        <v>118</v>
      </c>
      <c r="B91" s="3" t="s">
        <v>48</v>
      </c>
      <c r="C91" s="1" t="s">
        <v>18</v>
      </c>
      <c r="D91" t="s">
        <v>42</v>
      </c>
      <c r="E91" s="1" t="s">
        <v>14</v>
      </c>
      <c r="F91" s="1" t="s">
        <v>28</v>
      </c>
      <c r="G91" s="2">
        <v>45016</v>
      </c>
      <c r="H91" s="24">
        <v>86</v>
      </c>
      <c r="I91" s="23">
        <v>168.79</v>
      </c>
      <c r="J91" s="3">
        <v>385.6</v>
      </c>
      <c r="K91">
        <v>14515.939999999999</v>
      </c>
      <c r="L91" s="22">
        <f>(Table6[[#This Row],[Unit sold Filled]]*Table6[[#This Row],[Unit Price Filled]])-(Table6[[#This Row],[Unit sold Filled]]*Table6[[#This Row],[Unit Cost]])</f>
        <v>-18645.66</v>
      </c>
    </row>
    <row r="92" spans="1:12" x14ac:dyDescent="0.3">
      <c r="A92" s="15" t="s">
        <v>119</v>
      </c>
      <c r="B92" s="17" t="s">
        <v>17</v>
      </c>
      <c r="C92" s="15" t="s">
        <v>12</v>
      </c>
      <c r="D92" t="s">
        <v>27</v>
      </c>
      <c r="E92" s="15" t="s">
        <v>24</v>
      </c>
      <c r="F92" s="15" t="s">
        <v>28</v>
      </c>
      <c r="G92" s="18">
        <v>45017</v>
      </c>
      <c r="H92" s="24">
        <v>486</v>
      </c>
      <c r="I92" s="23">
        <v>227.14</v>
      </c>
      <c r="J92" s="17">
        <v>100.93</v>
      </c>
      <c r="K92">
        <v>110390.04</v>
      </c>
      <c r="L92" s="22">
        <f>(Table6[[#This Row],[Unit sold Filled]]*Table6[[#This Row],[Unit Price Filled]])-(Table6[[#This Row],[Unit sold Filled]]*Table6[[#This Row],[Unit Cost]])</f>
        <v>61338.05999999999</v>
      </c>
    </row>
    <row r="93" spans="1:12" x14ac:dyDescent="0.3">
      <c r="A93" s="1" t="s">
        <v>120</v>
      </c>
      <c r="B93" s="3" t="s">
        <v>17</v>
      </c>
      <c r="C93" s="1" t="s">
        <v>50</v>
      </c>
      <c r="D93" t="s">
        <v>42</v>
      </c>
      <c r="E93" s="1" t="s">
        <v>24</v>
      </c>
      <c r="F93" s="1" t="s">
        <v>20</v>
      </c>
      <c r="G93" s="2">
        <v>45018</v>
      </c>
      <c r="H93" s="24">
        <v>21</v>
      </c>
      <c r="I93" s="23">
        <v>249.64520588235297</v>
      </c>
      <c r="J93" s="3">
        <v>55.25</v>
      </c>
      <c r="K93">
        <v>5242.5493235294125</v>
      </c>
      <c r="L93" s="22">
        <f>(Table6[[#This Row],[Unit sold Filled]]*Table6[[#This Row],[Unit Price Filled]])-(Table6[[#This Row],[Unit sold Filled]]*Table6[[#This Row],[Unit Cost]])</f>
        <v>4082.2993235294125</v>
      </c>
    </row>
    <row r="94" spans="1:12" x14ac:dyDescent="0.3">
      <c r="A94" s="15" t="s">
        <v>121</v>
      </c>
      <c r="B94" s="17" t="s">
        <v>48</v>
      </c>
      <c r="C94" s="15" t="s">
        <v>50</v>
      </c>
      <c r="D94" t="s">
        <v>23</v>
      </c>
      <c r="E94" s="15" t="s">
        <v>24</v>
      </c>
      <c r="F94" s="15" t="s">
        <v>15</v>
      </c>
      <c r="G94" s="18">
        <v>45019</v>
      </c>
      <c r="H94" s="24">
        <v>304</v>
      </c>
      <c r="I94" s="23">
        <v>77.150000000000006</v>
      </c>
      <c r="J94" s="17">
        <v>168.6</v>
      </c>
      <c r="K94">
        <v>23453.600000000002</v>
      </c>
      <c r="L94" s="22">
        <f>(Table6[[#This Row],[Unit sold Filled]]*Table6[[#This Row],[Unit Price Filled]])-(Table6[[#This Row],[Unit sold Filled]]*Table6[[#This Row],[Unit Cost]])</f>
        <v>-27800.799999999999</v>
      </c>
    </row>
    <row r="95" spans="1:12" x14ac:dyDescent="0.3">
      <c r="A95" s="1" t="s">
        <v>122</v>
      </c>
      <c r="B95" s="3" t="s">
        <v>48</v>
      </c>
      <c r="C95" s="1" t="s">
        <v>18</v>
      </c>
      <c r="D95" t="s">
        <v>13</v>
      </c>
      <c r="E95" s="1" t="s">
        <v>14</v>
      </c>
      <c r="F95" s="1" t="s">
        <v>20</v>
      </c>
      <c r="G95" s="2">
        <v>45020</v>
      </c>
      <c r="H95" s="24">
        <v>459</v>
      </c>
      <c r="I95" s="23">
        <v>227.47</v>
      </c>
      <c r="J95" s="3">
        <v>316.55</v>
      </c>
      <c r="K95">
        <v>104408.73</v>
      </c>
      <c r="L95" s="22">
        <f>(Table6[[#This Row],[Unit sold Filled]]*Table6[[#This Row],[Unit Price Filled]])-(Table6[[#This Row],[Unit sold Filled]]*Table6[[#This Row],[Unit Cost]])</f>
        <v>-40887.720000000016</v>
      </c>
    </row>
    <row r="96" spans="1:12" x14ac:dyDescent="0.3">
      <c r="A96" s="15" t="s">
        <v>123</v>
      </c>
      <c r="B96" s="17" t="s">
        <v>48</v>
      </c>
      <c r="C96" s="15" t="s">
        <v>31</v>
      </c>
      <c r="D96" t="s">
        <v>27</v>
      </c>
      <c r="E96" s="15" t="s">
        <v>14</v>
      </c>
      <c r="F96" s="15" t="s">
        <v>15</v>
      </c>
      <c r="G96" s="18">
        <v>45021</v>
      </c>
      <c r="H96" s="24">
        <v>233</v>
      </c>
      <c r="I96" s="23">
        <v>296</v>
      </c>
      <c r="J96" s="17">
        <v>233.69</v>
      </c>
      <c r="K96">
        <v>68968</v>
      </c>
      <c r="L96" s="22">
        <f>(Table6[[#This Row],[Unit sold Filled]]*Table6[[#This Row],[Unit Price Filled]])-(Table6[[#This Row],[Unit sold Filled]]*Table6[[#This Row],[Unit Cost]])</f>
        <v>14518.230000000003</v>
      </c>
    </row>
    <row r="97" spans="1:12" x14ac:dyDescent="0.3">
      <c r="A97" s="1" t="s">
        <v>124</v>
      </c>
      <c r="B97" s="3" t="s">
        <v>48</v>
      </c>
      <c r="C97" s="1" t="s">
        <v>26</v>
      </c>
      <c r="D97" t="s">
        <v>42</v>
      </c>
      <c r="E97" s="1" t="s">
        <v>24</v>
      </c>
      <c r="F97" s="1" t="s">
        <v>20</v>
      </c>
      <c r="G97" s="2">
        <v>45022</v>
      </c>
      <c r="H97" s="24">
        <v>22</v>
      </c>
      <c r="I97" s="23">
        <v>474.55</v>
      </c>
      <c r="J97" s="3">
        <v>273.02999999999997</v>
      </c>
      <c r="K97">
        <v>10440.1</v>
      </c>
      <c r="L97" s="22">
        <f>(Table6[[#This Row],[Unit sold Filled]]*Table6[[#This Row],[Unit Price Filled]])-(Table6[[#This Row],[Unit sold Filled]]*Table6[[#This Row],[Unit Cost]])</f>
        <v>4433.4400000000005</v>
      </c>
    </row>
    <row r="98" spans="1:12" x14ac:dyDescent="0.3">
      <c r="A98" s="15" t="s">
        <v>125</v>
      </c>
      <c r="B98" s="17" t="s">
        <v>48</v>
      </c>
      <c r="C98" s="15" t="s">
        <v>18</v>
      </c>
      <c r="D98" t="s">
        <v>23</v>
      </c>
      <c r="E98" s="15" t="s">
        <v>14</v>
      </c>
      <c r="F98" s="15" t="s">
        <v>28</v>
      </c>
      <c r="G98" s="18">
        <v>45023</v>
      </c>
      <c r="H98" s="24">
        <v>55</v>
      </c>
      <c r="I98" s="23">
        <v>130</v>
      </c>
      <c r="J98" s="17">
        <v>77.5</v>
      </c>
      <c r="K98">
        <v>7150</v>
      </c>
      <c r="L98" s="22">
        <f>(Table6[[#This Row],[Unit sold Filled]]*Table6[[#This Row],[Unit Price Filled]])-(Table6[[#This Row],[Unit sold Filled]]*Table6[[#This Row],[Unit Cost]])</f>
        <v>2887.5</v>
      </c>
    </row>
    <row r="99" spans="1:12" x14ac:dyDescent="0.3">
      <c r="A99" s="1" t="s">
        <v>126</v>
      </c>
      <c r="B99" s="3" t="s">
        <v>17</v>
      </c>
      <c r="C99" s="1" t="s">
        <v>26</v>
      </c>
      <c r="D99" t="s">
        <v>23</v>
      </c>
      <c r="E99" s="1" t="s">
        <v>14</v>
      </c>
      <c r="F99" s="1" t="s">
        <v>15</v>
      </c>
      <c r="G99" s="2">
        <v>45024</v>
      </c>
      <c r="H99" s="24">
        <v>164</v>
      </c>
      <c r="I99" s="23">
        <v>182.83</v>
      </c>
      <c r="J99" s="3">
        <v>248.34</v>
      </c>
      <c r="K99">
        <v>29984.120000000003</v>
      </c>
      <c r="L99" s="22">
        <f>(Table6[[#This Row],[Unit sold Filled]]*Table6[[#This Row],[Unit Price Filled]])-(Table6[[#This Row],[Unit sold Filled]]*Table6[[#This Row],[Unit Cost]])</f>
        <v>-10743.64</v>
      </c>
    </row>
    <row r="100" spans="1:12" x14ac:dyDescent="0.3">
      <c r="A100" s="15" t="s">
        <v>127</v>
      </c>
      <c r="B100" s="17" t="s">
        <v>48</v>
      </c>
      <c r="C100" s="15" t="s">
        <v>26</v>
      </c>
      <c r="D100" t="s">
        <v>42</v>
      </c>
      <c r="E100" s="15" t="s">
        <v>14</v>
      </c>
      <c r="F100" s="15" t="s">
        <v>15</v>
      </c>
      <c r="G100" s="18">
        <v>45025</v>
      </c>
      <c r="H100" s="24">
        <v>122</v>
      </c>
      <c r="I100" s="23">
        <v>192.78</v>
      </c>
      <c r="J100" s="17">
        <v>130.75</v>
      </c>
      <c r="K100">
        <v>23519.16</v>
      </c>
      <c r="L100" s="22">
        <f>(Table6[[#This Row],[Unit sold Filled]]*Table6[[#This Row],[Unit Price Filled]])-(Table6[[#This Row],[Unit sold Filled]]*Table6[[#This Row],[Unit Cost]])</f>
        <v>7567.66</v>
      </c>
    </row>
    <row r="101" spans="1:12" x14ac:dyDescent="0.3">
      <c r="A101" s="1" t="s">
        <v>128</v>
      </c>
      <c r="B101" s="3" t="s">
        <v>22</v>
      </c>
      <c r="C101" s="1" t="s">
        <v>31</v>
      </c>
      <c r="D101" t="s">
        <v>13</v>
      </c>
      <c r="E101" s="1" t="s">
        <v>24</v>
      </c>
      <c r="F101" s="1" t="s">
        <v>20</v>
      </c>
      <c r="G101" s="2">
        <v>45026</v>
      </c>
      <c r="H101" s="24">
        <v>242</v>
      </c>
      <c r="I101" s="23">
        <v>304.74</v>
      </c>
      <c r="J101" s="3">
        <v>334.05</v>
      </c>
      <c r="K101">
        <v>73747.08</v>
      </c>
      <c r="L101" s="22">
        <f>(Table6[[#This Row],[Unit sold Filled]]*Table6[[#This Row],[Unit Price Filled]])-(Table6[[#This Row],[Unit sold Filled]]*Table6[[#This Row],[Unit Cost]])</f>
        <v>-7093.0200000000041</v>
      </c>
    </row>
    <row r="102" spans="1:12" x14ac:dyDescent="0.3">
      <c r="A102" s="15" t="s">
        <v>129</v>
      </c>
      <c r="B102" s="17" t="s">
        <v>11</v>
      </c>
      <c r="C102" s="15" t="s">
        <v>26</v>
      </c>
      <c r="D102" t="s">
        <v>42</v>
      </c>
      <c r="E102" s="15" t="s">
        <v>24</v>
      </c>
      <c r="F102" s="15" t="s">
        <v>20</v>
      </c>
      <c r="G102" s="18">
        <v>45027</v>
      </c>
      <c r="H102" s="24">
        <v>26</v>
      </c>
      <c r="I102" s="23">
        <v>181.58</v>
      </c>
      <c r="J102" s="17">
        <v>252.46</v>
      </c>
      <c r="K102">
        <v>4721.08</v>
      </c>
      <c r="L102" s="22">
        <f>(Table6[[#This Row],[Unit sold Filled]]*Table6[[#This Row],[Unit Price Filled]])-(Table6[[#This Row],[Unit sold Filled]]*Table6[[#This Row],[Unit Cost]])</f>
        <v>-1842.88</v>
      </c>
    </row>
    <row r="103" spans="1:12" x14ac:dyDescent="0.3">
      <c r="A103" s="1" t="s">
        <v>130</v>
      </c>
      <c r="B103" s="3" t="s">
        <v>48</v>
      </c>
      <c r="C103" s="1" t="s">
        <v>26</v>
      </c>
      <c r="D103" t="s">
        <v>27</v>
      </c>
      <c r="E103" s="1" t="s">
        <v>14</v>
      </c>
      <c r="F103" s="1" t="s">
        <v>15</v>
      </c>
      <c r="G103" s="2">
        <v>45028</v>
      </c>
      <c r="H103" s="24">
        <v>369</v>
      </c>
      <c r="I103" s="23">
        <v>269.08999999999997</v>
      </c>
      <c r="J103" s="3">
        <v>81.14</v>
      </c>
      <c r="K103">
        <v>99294.209999999992</v>
      </c>
      <c r="L103" s="22">
        <f>(Table6[[#This Row],[Unit sold Filled]]*Table6[[#This Row],[Unit Price Filled]])-(Table6[[#This Row],[Unit sold Filled]]*Table6[[#This Row],[Unit Cost]])</f>
        <v>69353.549999999988</v>
      </c>
    </row>
    <row r="104" spans="1:12" x14ac:dyDescent="0.3">
      <c r="A104" s="15" t="s">
        <v>131</v>
      </c>
      <c r="B104" s="17" t="s">
        <v>48</v>
      </c>
      <c r="C104" s="15" t="s">
        <v>31</v>
      </c>
      <c r="D104" t="s">
        <v>42</v>
      </c>
      <c r="E104" s="15" t="s">
        <v>24</v>
      </c>
      <c r="F104" s="15" t="s">
        <v>20</v>
      </c>
      <c r="G104" s="18">
        <v>45029</v>
      </c>
      <c r="H104" s="24">
        <v>232</v>
      </c>
      <c r="I104" s="23">
        <v>391.99</v>
      </c>
      <c r="J104" s="17">
        <v>27.72</v>
      </c>
      <c r="K104">
        <v>90941.680000000008</v>
      </c>
      <c r="L104" s="22">
        <f>(Table6[[#This Row],[Unit sold Filled]]*Table6[[#This Row],[Unit Price Filled]])-(Table6[[#This Row],[Unit sold Filled]]*Table6[[#This Row],[Unit Cost]])</f>
        <v>84510.640000000014</v>
      </c>
    </row>
    <row r="105" spans="1:12" x14ac:dyDescent="0.3">
      <c r="A105" s="1" t="s">
        <v>132</v>
      </c>
      <c r="B105" s="3" t="s">
        <v>17</v>
      </c>
      <c r="C105" s="1" t="s">
        <v>26</v>
      </c>
      <c r="D105" t="s">
        <v>23</v>
      </c>
      <c r="E105" s="1" t="s">
        <v>14</v>
      </c>
      <c r="F105" s="1" t="s">
        <v>20</v>
      </c>
      <c r="G105" s="2">
        <v>45030</v>
      </c>
      <c r="H105" s="24">
        <v>363</v>
      </c>
      <c r="I105" s="23">
        <v>354.17</v>
      </c>
      <c r="J105" s="3">
        <v>18.97</v>
      </c>
      <c r="K105">
        <v>128563.71</v>
      </c>
      <c r="L105" s="22">
        <f>(Table6[[#This Row],[Unit sold Filled]]*Table6[[#This Row],[Unit Price Filled]])-(Table6[[#This Row],[Unit sold Filled]]*Table6[[#This Row],[Unit Cost]])</f>
        <v>121677.6</v>
      </c>
    </row>
    <row r="106" spans="1:12" x14ac:dyDescent="0.3">
      <c r="A106" s="15" t="s">
        <v>133</v>
      </c>
      <c r="B106" s="17" t="s">
        <v>48</v>
      </c>
      <c r="C106" s="15" t="s">
        <v>26</v>
      </c>
      <c r="D106" t="s">
        <v>42</v>
      </c>
      <c r="E106" s="15" t="s">
        <v>14</v>
      </c>
      <c r="F106" s="15" t="s">
        <v>20</v>
      </c>
      <c r="G106" s="18">
        <v>45031</v>
      </c>
      <c r="H106" s="24">
        <v>197</v>
      </c>
      <c r="I106" s="23">
        <v>225.95</v>
      </c>
      <c r="J106" s="17">
        <v>149.82</v>
      </c>
      <c r="K106">
        <v>44512.149999999994</v>
      </c>
      <c r="L106" s="22">
        <f>(Table6[[#This Row],[Unit sold Filled]]*Table6[[#This Row],[Unit Price Filled]])-(Table6[[#This Row],[Unit sold Filled]]*Table6[[#This Row],[Unit Cost]])</f>
        <v>14997.609999999997</v>
      </c>
    </row>
    <row r="107" spans="1:12" x14ac:dyDescent="0.3">
      <c r="A107" s="1" t="s">
        <v>134</v>
      </c>
      <c r="B107" s="3" t="s">
        <v>48</v>
      </c>
      <c r="C107" s="1" t="s">
        <v>26</v>
      </c>
      <c r="D107" t="s">
        <v>13</v>
      </c>
      <c r="E107" s="1" t="s">
        <v>14</v>
      </c>
      <c r="F107" s="1" t="s">
        <v>28</v>
      </c>
      <c r="G107" s="2">
        <v>45032</v>
      </c>
      <c r="H107" s="24">
        <v>457</v>
      </c>
      <c r="I107" s="23">
        <v>432.79</v>
      </c>
      <c r="J107" s="3">
        <v>107.81</v>
      </c>
      <c r="K107">
        <v>197785.03</v>
      </c>
      <c r="L107" s="22">
        <f>(Table6[[#This Row],[Unit sold Filled]]*Table6[[#This Row],[Unit Price Filled]])-(Table6[[#This Row],[Unit sold Filled]]*Table6[[#This Row],[Unit Cost]])</f>
        <v>148515.85999999999</v>
      </c>
    </row>
    <row r="108" spans="1:12" x14ac:dyDescent="0.3">
      <c r="A108" s="15" t="s">
        <v>135</v>
      </c>
      <c r="B108" s="17" t="s">
        <v>48</v>
      </c>
      <c r="C108" s="15" t="s">
        <v>18</v>
      </c>
      <c r="D108" t="s">
        <v>19</v>
      </c>
      <c r="E108" s="15" t="s">
        <v>14</v>
      </c>
      <c r="F108" s="15" t="s">
        <v>28</v>
      </c>
      <c r="G108" s="18">
        <v>45033</v>
      </c>
      <c r="H108" s="24">
        <v>353</v>
      </c>
      <c r="I108" s="23">
        <v>281.27999999999997</v>
      </c>
      <c r="J108" s="17">
        <v>259.14</v>
      </c>
      <c r="K108">
        <v>99291.839999999997</v>
      </c>
      <c r="L108" s="22">
        <f>(Table6[[#This Row],[Unit sold Filled]]*Table6[[#This Row],[Unit Price Filled]])-(Table6[[#This Row],[Unit sold Filled]]*Table6[[#This Row],[Unit Cost]])</f>
        <v>7815.4199999999983</v>
      </c>
    </row>
    <row r="109" spans="1:12" x14ac:dyDescent="0.3">
      <c r="A109" s="1" t="s">
        <v>136</v>
      </c>
      <c r="B109" s="3" t="s">
        <v>17</v>
      </c>
      <c r="C109" s="1" t="s">
        <v>18</v>
      </c>
      <c r="D109" t="s">
        <v>42</v>
      </c>
      <c r="E109" s="1" t="s">
        <v>24</v>
      </c>
      <c r="F109" s="1" t="s">
        <v>20</v>
      </c>
      <c r="G109" s="2">
        <v>45034</v>
      </c>
      <c r="H109" s="24">
        <v>374</v>
      </c>
      <c r="I109" s="23">
        <v>272.25</v>
      </c>
      <c r="J109" s="3">
        <v>200.73</v>
      </c>
      <c r="K109">
        <v>101821.5</v>
      </c>
      <c r="L109" s="22">
        <f>(Table6[[#This Row],[Unit sold Filled]]*Table6[[#This Row],[Unit Price Filled]])-(Table6[[#This Row],[Unit sold Filled]]*Table6[[#This Row],[Unit Cost]])</f>
        <v>26748.48000000001</v>
      </c>
    </row>
    <row r="110" spans="1:12" x14ac:dyDescent="0.3">
      <c r="A110" s="15" t="s">
        <v>137</v>
      </c>
      <c r="B110" s="17" t="s">
        <v>48</v>
      </c>
      <c r="C110" s="15" t="s">
        <v>18</v>
      </c>
      <c r="D110" t="s">
        <v>13</v>
      </c>
      <c r="E110" s="15" t="s">
        <v>24</v>
      </c>
      <c r="F110" s="15" t="s">
        <v>20</v>
      </c>
      <c r="G110" s="18">
        <v>45035</v>
      </c>
      <c r="H110" s="24">
        <v>172</v>
      </c>
      <c r="I110" s="23">
        <v>21.92</v>
      </c>
      <c r="J110" s="17">
        <v>107.88</v>
      </c>
      <c r="K110">
        <v>3770.2400000000002</v>
      </c>
      <c r="L110" s="22">
        <f>(Table6[[#This Row],[Unit sold Filled]]*Table6[[#This Row],[Unit Price Filled]])-(Table6[[#This Row],[Unit sold Filled]]*Table6[[#This Row],[Unit Cost]])</f>
        <v>-14785.12</v>
      </c>
    </row>
    <row r="111" spans="1:12" x14ac:dyDescent="0.3">
      <c r="A111" s="1" t="s">
        <v>138</v>
      </c>
      <c r="B111" s="3" t="s">
        <v>11</v>
      </c>
      <c r="C111" s="1" t="s">
        <v>31</v>
      </c>
      <c r="D111" t="s">
        <v>13</v>
      </c>
      <c r="E111" s="1" t="s">
        <v>24</v>
      </c>
      <c r="F111" s="1" t="s">
        <v>28</v>
      </c>
      <c r="G111" s="2">
        <v>45036</v>
      </c>
      <c r="H111" s="24">
        <v>335</v>
      </c>
      <c r="I111" s="23">
        <v>493.41</v>
      </c>
      <c r="J111" s="3">
        <v>61.4</v>
      </c>
      <c r="K111">
        <v>165292.35</v>
      </c>
      <c r="L111" s="22">
        <f>(Table6[[#This Row],[Unit sold Filled]]*Table6[[#This Row],[Unit Price Filled]])-(Table6[[#This Row],[Unit sold Filled]]*Table6[[#This Row],[Unit Cost]])</f>
        <v>144723.35</v>
      </c>
    </row>
    <row r="112" spans="1:12" x14ac:dyDescent="0.3">
      <c r="A112" s="15" t="s">
        <v>139</v>
      </c>
      <c r="B112" s="17" t="s">
        <v>17</v>
      </c>
      <c r="C112" s="15" t="s">
        <v>50</v>
      </c>
      <c r="D112" t="s">
        <v>23</v>
      </c>
      <c r="E112" s="15" t="s">
        <v>14</v>
      </c>
      <c r="F112" s="15" t="s">
        <v>28</v>
      </c>
      <c r="G112" s="18">
        <v>45037</v>
      </c>
      <c r="H112" s="24">
        <v>476</v>
      </c>
      <c r="I112" s="23">
        <v>65.87</v>
      </c>
      <c r="J112" s="17">
        <v>52.63</v>
      </c>
      <c r="K112">
        <v>31354.120000000003</v>
      </c>
      <c r="L112" s="22">
        <f>(Table6[[#This Row],[Unit sold Filled]]*Table6[[#This Row],[Unit Price Filled]])-(Table6[[#This Row],[Unit sold Filled]]*Table6[[#This Row],[Unit Cost]])</f>
        <v>6302.2400000000016</v>
      </c>
    </row>
    <row r="113" spans="1:12" x14ac:dyDescent="0.3">
      <c r="A113" s="1" t="s">
        <v>140</v>
      </c>
      <c r="B113" s="3" t="s">
        <v>11</v>
      </c>
      <c r="C113" s="1" t="s">
        <v>26</v>
      </c>
      <c r="D113" t="s">
        <v>13</v>
      </c>
      <c r="E113" s="1" t="s">
        <v>14</v>
      </c>
      <c r="F113" s="1" t="s">
        <v>15</v>
      </c>
      <c r="G113" s="2">
        <v>45038</v>
      </c>
      <c r="H113" s="24">
        <v>423</v>
      </c>
      <c r="I113" s="23">
        <v>119.41</v>
      </c>
      <c r="J113" s="3">
        <v>346.13</v>
      </c>
      <c r="K113">
        <v>50510.43</v>
      </c>
      <c r="L113" s="22">
        <f>(Table6[[#This Row],[Unit sold Filled]]*Table6[[#This Row],[Unit Price Filled]])-(Table6[[#This Row],[Unit sold Filled]]*Table6[[#This Row],[Unit Cost]])</f>
        <v>-95902.56</v>
      </c>
    </row>
    <row r="114" spans="1:12" x14ac:dyDescent="0.3">
      <c r="A114" s="15" t="s">
        <v>141</v>
      </c>
      <c r="B114" s="17" t="s">
        <v>17</v>
      </c>
      <c r="C114" s="15" t="s">
        <v>26</v>
      </c>
      <c r="D114" t="s">
        <v>13</v>
      </c>
      <c r="E114" s="15" t="s">
        <v>14</v>
      </c>
      <c r="F114" s="15" t="s">
        <v>15</v>
      </c>
      <c r="G114" s="18">
        <v>45039</v>
      </c>
      <c r="H114" s="24">
        <v>464</v>
      </c>
      <c r="I114" s="23">
        <v>30.59</v>
      </c>
      <c r="J114" s="17">
        <v>98.9</v>
      </c>
      <c r="K114">
        <v>14193.76</v>
      </c>
      <c r="L114" s="22">
        <f>(Table6[[#This Row],[Unit sold Filled]]*Table6[[#This Row],[Unit Price Filled]])-(Table6[[#This Row],[Unit sold Filled]]*Table6[[#This Row],[Unit Cost]])</f>
        <v>-31695.840000000004</v>
      </c>
    </row>
    <row r="115" spans="1:12" x14ac:dyDescent="0.3">
      <c r="A115" s="1" t="s">
        <v>142</v>
      </c>
      <c r="B115" s="3" t="s">
        <v>48</v>
      </c>
      <c r="C115" s="1" t="s">
        <v>31</v>
      </c>
      <c r="D115" t="s">
        <v>13</v>
      </c>
      <c r="E115" s="1" t="s">
        <v>24</v>
      </c>
      <c r="F115" s="1" t="s">
        <v>28</v>
      </c>
      <c r="G115" s="2">
        <v>45040</v>
      </c>
      <c r="H115" s="24">
        <v>83</v>
      </c>
      <c r="I115" s="23">
        <v>321.8</v>
      </c>
      <c r="J115" s="3">
        <v>261.38</v>
      </c>
      <c r="K115">
        <v>26709.4</v>
      </c>
      <c r="L115" s="22">
        <f>(Table6[[#This Row],[Unit sold Filled]]*Table6[[#This Row],[Unit Price Filled]])-(Table6[[#This Row],[Unit sold Filled]]*Table6[[#This Row],[Unit Cost]])</f>
        <v>5014.8600000000006</v>
      </c>
    </row>
    <row r="116" spans="1:12" x14ac:dyDescent="0.3">
      <c r="A116" s="15" t="s">
        <v>143</v>
      </c>
      <c r="B116" s="17" t="s">
        <v>11</v>
      </c>
      <c r="C116" s="15" t="s">
        <v>26</v>
      </c>
      <c r="D116" t="s">
        <v>13</v>
      </c>
      <c r="E116" s="15" t="s">
        <v>14</v>
      </c>
      <c r="F116" s="15" t="s">
        <v>20</v>
      </c>
      <c r="G116" s="18">
        <v>45041</v>
      </c>
      <c r="H116" s="24">
        <v>242</v>
      </c>
      <c r="I116" s="23">
        <v>116.23</v>
      </c>
      <c r="J116" s="17">
        <v>324.64999999999998</v>
      </c>
      <c r="K116">
        <v>28127.66</v>
      </c>
      <c r="L116" s="22">
        <f>(Table6[[#This Row],[Unit sold Filled]]*Table6[[#This Row],[Unit Price Filled]])-(Table6[[#This Row],[Unit sold Filled]]*Table6[[#This Row],[Unit Cost]])</f>
        <v>-50437.639999999985</v>
      </c>
    </row>
    <row r="117" spans="1:12" x14ac:dyDescent="0.3">
      <c r="A117" s="1" t="s">
        <v>144</v>
      </c>
      <c r="B117" s="3" t="s">
        <v>17</v>
      </c>
      <c r="C117" s="1" t="s">
        <v>18</v>
      </c>
      <c r="D117" t="s">
        <v>27</v>
      </c>
      <c r="E117" s="1" t="s">
        <v>24</v>
      </c>
      <c r="F117" s="1" t="s">
        <v>20</v>
      </c>
      <c r="G117" s="2">
        <v>45042</v>
      </c>
      <c r="H117" s="24">
        <v>233</v>
      </c>
      <c r="I117" s="23">
        <v>94.11</v>
      </c>
      <c r="J117" s="3">
        <v>246.4</v>
      </c>
      <c r="K117">
        <v>21927.63</v>
      </c>
      <c r="L117" s="22">
        <f>(Table6[[#This Row],[Unit sold Filled]]*Table6[[#This Row],[Unit Price Filled]])-(Table6[[#This Row],[Unit sold Filled]]*Table6[[#This Row],[Unit Cost]])</f>
        <v>-35483.570000000007</v>
      </c>
    </row>
    <row r="118" spans="1:12" x14ac:dyDescent="0.3">
      <c r="A118" s="15" t="s">
        <v>145</v>
      </c>
      <c r="B118" s="17" t="s">
        <v>22</v>
      </c>
      <c r="C118" s="15" t="s">
        <v>50</v>
      </c>
      <c r="D118" t="s">
        <v>27</v>
      </c>
      <c r="E118" s="15" t="s">
        <v>24</v>
      </c>
      <c r="F118" s="15" t="s">
        <v>20</v>
      </c>
      <c r="G118" s="18">
        <v>45043</v>
      </c>
      <c r="H118" s="24">
        <v>491</v>
      </c>
      <c r="I118" s="23">
        <v>48.84</v>
      </c>
      <c r="J118" s="17">
        <v>344.11</v>
      </c>
      <c r="K118">
        <v>23980.440000000002</v>
      </c>
      <c r="L118" s="22">
        <f>(Table6[[#This Row],[Unit sold Filled]]*Table6[[#This Row],[Unit Price Filled]])-(Table6[[#This Row],[Unit sold Filled]]*Table6[[#This Row],[Unit Cost]])</f>
        <v>-144977.57</v>
      </c>
    </row>
    <row r="119" spans="1:12" x14ac:dyDescent="0.3">
      <c r="A119" s="1" t="s">
        <v>146</v>
      </c>
      <c r="B119" s="3" t="s">
        <v>17</v>
      </c>
      <c r="C119" s="1" t="s">
        <v>12</v>
      </c>
      <c r="D119" t="s">
        <v>23</v>
      </c>
      <c r="E119" s="1" t="s">
        <v>24</v>
      </c>
      <c r="F119" s="1" t="s">
        <v>20</v>
      </c>
      <c r="G119" s="2">
        <v>45044</v>
      </c>
      <c r="H119" s="24">
        <v>328</v>
      </c>
      <c r="I119" s="23">
        <v>56.14</v>
      </c>
      <c r="J119" s="3">
        <v>158.16999999999999</v>
      </c>
      <c r="K119">
        <v>18413.920000000002</v>
      </c>
      <c r="L119" s="22">
        <f>(Table6[[#This Row],[Unit sold Filled]]*Table6[[#This Row],[Unit Price Filled]])-(Table6[[#This Row],[Unit sold Filled]]*Table6[[#This Row],[Unit Cost]])</f>
        <v>-33465.839999999997</v>
      </c>
    </row>
    <row r="120" spans="1:12" x14ac:dyDescent="0.3">
      <c r="A120" s="15" t="s">
        <v>147</v>
      </c>
      <c r="B120" s="17" t="s">
        <v>17</v>
      </c>
      <c r="C120" s="15" t="s">
        <v>26</v>
      </c>
      <c r="D120" t="s">
        <v>42</v>
      </c>
      <c r="E120" s="15" t="s">
        <v>24</v>
      </c>
      <c r="F120" s="15" t="s">
        <v>15</v>
      </c>
      <c r="G120" s="18">
        <v>45045</v>
      </c>
      <c r="H120" s="24">
        <v>421</v>
      </c>
      <c r="I120" s="23">
        <v>294.41000000000003</v>
      </c>
      <c r="J120" s="17">
        <v>382.58</v>
      </c>
      <c r="K120">
        <v>123946.61000000002</v>
      </c>
      <c r="L120" s="22">
        <f>(Table6[[#This Row],[Unit sold Filled]]*Table6[[#This Row],[Unit Price Filled]])-(Table6[[#This Row],[Unit sold Filled]]*Table6[[#This Row],[Unit Cost]])</f>
        <v>-37119.569999999978</v>
      </c>
    </row>
    <row r="121" spans="1:12" x14ac:dyDescent="0.3">
      <c r="A121" s="1" t="s">
        <v>148</v>
      </c>
      <c r="B121" s="3" t="s">
        <v>22</v>
      </c>
      <c r="C121" s="1" t="s">
        <v>18</v>
      </c>
      <c r="D121" t="s">
        <v>13</v>
      </c>
      <c r="E121" s="1" t="s">
        <v>24</v>
      </c>
      <c r="F121" s="1" t="s">
        <v>28</v>
      </c>
      <c r="G121" s="2">
        <v>45046</v>
      </c>
      <c r="H121" s="24">
        <v>69</v>
      </c>
      <c r="I121" s="23">
        <v>345.66</v>
      </c>
      <c r="J121" s="3">
        <v>54.99</v>
      </c>
      <c r="K121">
        <v>23850.54</v>
      </c>
      <c r="L121" s="22">
        <f>(Table6[[#This Row],[Unit sold Filled]]*Table6[[#This Row],[Unit Price Filled]])-(Table6[[#This Row],[Unit sold Filled]]*Table6[[#This Row],[Unit Cost]])</f>
        <v>20056.23</v>
      </c>
    </row>
    <row r="122" spans="1:12" x14ac:dyDescent="0.3">
      <c r="A122" s="15" t="s">
        <v>149</v>
      </c>
      <c r="B122" s="17" t="s">
        <v>17</v>
      </c>
      <c r="C122" s="15" t="s">
        <v>12</v>
      </c>
      <c r="D122" t="s">
        <v>42</v>
      </c>
      <c r="E122" s="15" t="s">
        <v>24</v>
      </c>
      <c r="F122" s="15" t="s">
        <v>20</v>
      </c>
      <c r="G122" s="18">
        <v>45047</v>
      </c>
      <c r="H122" s="24">
        <v>344</v>
      </c>
      <c r="I122" s="23">
        <v>201.7</v>
      </c>
      <c r="J122" s="17">
        <v>42.66</v>
      </c>
      <c r="K122">
        <v>69384.800000000003</v>
      </c>
      <c r="L122" s="22">
        <f>(Table6[[#This Row],[Unit sold Filled]]*Table6[[#This Row],[Unit Price Filled]])-(Table6[[#This Row],[Unit sold Filled]]*Table6[[#This Row],[Unit Cost]])</f>
        <v>54709.760000000002</v>
      </c>
    </row>
    <row r="123" spans="1:12" x14ac:dyDescent="0.3">
      <c r="A123" s="1" t="s">
        <v>150</v>
      </c>
      <c r="B123" s="3" t="s">
        <v>17</v>
      </c>
      <c r="C123" s="1" t="s">
        <v>50</v>
      </c>
      <c r="D123" t="s">
        <v>42</v>
      </c>
      <c r="E123" s="1" t="s">
        <v>14</v>
      </c>
      <c r="F123" s="1" t="s">
        <v>15</v>
      </c>
      <c r="G123" s="2">
        <v>45048</v>
      </c>
      <c r="H123" s="24">
        <v>231</v>
      </c>
      <c r="I123" s="23">
        <v>242.55</v>
      </c>
      <c r="J123" s="3">
        <v>264.16000000000003</v>
      </c>
      <c r="K123">
        <v>56029.05</v>
      </c>
      <c r="L123" s="22">
        <f>(Table6[[#This Row],[Unit sold Filled]]*Table6[[#This Row],[Unit Price Filled]])-(Table6[[#This Row],[Unit sold Filled]]*Table6[[#This Row],[Unit Cost]])</f>
        <v>-4991.9100000000035</v>
      </c>
    </row>
    <row r="124" spans="1:12" x14ac:dyDescent="0.3">
      <c r="A124" s="15" t="s">
        <v>151</v>
      </c>
      <c r="B124" s="17" t="s">
        <v>48</v>
      </c>
      <c r="C124" s="15" t="s">
        <v>12</v>
      </c>
      <c r="D124" t="s">
        <v>23</v>
      </c>
      <c r="E124" s="15" t="s">
        <v>14</v>
      </c>
      <c r="F124" s="15" t="s">
        <v>20</v>
      </c>
      <c r="G124" s="18">
        <v>45049</v>
      </c>
      <c r="H124" s="24">
        <v>46</v>
      </c>
      <c r="I124" s="23">
        <v>344.55</v>
      </c>
      <c r="J124" s="17">
        <v>377.25</v>
      </c>
      <c r="K124">
        <v>15849.300000000001</v>
      </c>
      <c r="L124" s="22">
        <f>(Table6[[#This Row],[Unit sold Filled]]*Table6[[#This Row],[Unit Price Filled]])-(Table6[[#This Row],[Unit sold Filled]]*Table6[[#This Row],[Unit Cost]])</f>
        <v>-1504.1999999999989</v>
      </c>
    </row>
    <row r="125" spans="1:12" x14ac:dyDescent="0.3">
      <c r="A125" s="1" t="s">
        <v>152</v>
      </c>
      <c r="B125" s="3" t="s">
        <v>11</v>
      </c>
      <c r="C125" s="1" t="s">
        <v>18</v>
      </c>
      <c r="D125" t="s">
        <v>13</v>
      </c>
      <c r="E125" s="1" t="s">
        <v>24</v>
      </c>
      <c r="F125" s="1" t="s">
        <v>28</v>
      </c>
      <c r="G125" s="2">
        <v>45050</v>
      </c>
      <c r="H125" s="24">
        <v>486</v>
      </c>
      <c r="I125" s="23">
        <v>13.6</v>
      </c>
      <c r="J125" s="3">
        <v>323.94</v>
      </c>
      <c r="K125">
        <v>6609.5999999999995</v>
      </c>
      <c r="L125" s="22">
        <f>(Table6[[#This Row],[Unit sold Filled]]*Table6[[#This Row],[Unit Price Filled]])-(Table6[[#This Row],[Unit sold Filled]]*Table6[[#This Row],[Unit Cost]])</f>
        <v>-150825.24</v>
      </c>
    </row>
    <row r="126" spans="1:12" x14ac:dyDescent="0.3">
      <c r="A126" s="15" t="s">
        <v>153</v>
      </c>
      <c r="B126" s="17" t="s">
        <v>22</v>
      </c>
      <c r="C126" s="15" t="s">
        <v>12</v>
      </c>
      <c r="D126" t="s">
        <v>13</v>
      </c>
      <c r="E126" s="15" t="s">
        <v>24</v>
      </c>
      <c r="F126" s="15" t="s">
        <v>15</v>
      </c>
      <c r="G126" s="18">
        <v>45051</v>
      </c>
      <c r="H126" s="24">
        <v>287</v>
      </c>
      <c r="I126" s="23">
        <v>164.95</v>
      </c>
      <c r="J126" s="17">
        <v>32.409999999999997</v>
      </c>
      <c r="K126">
        <v>47340.649999999994</v>
      </c>
      <c r="L126" s="22">
        <f>(Table6[[#This Row],[Unit sold Filled]]*Table6[[#This Row],[Unit Price Filled]])-(Table6[[#This Row],[Unit sold Filled]]*Table6[[#This Row],[Unit Cost]])</f>
        <v>38038.979999999996</v>
      </c>
    </row>
    <row r="127" spans="1:12" x14ac:dyDescent="0.3">
      <c r="A127" s="1" t="s">
        <v>154</v>
      </c>
      <c r="B127" s="3" t="s">
        <v>17</v>
      </c>
      <c r="C127" s="1" t="s">
        <v>31</v>
      </c>
      <c r="D127" t="s">
        <v>19</v>
      </c>
      <c r="E127" s="1" t="s">
        <v>14</v>
      </c>
      <c r="F127" s="1" t="s">
        <v>28</v>
      </c>
      <c r="G127" s="2">
        <v>45052</v>
      </c>
      <c r="H127" s="24">
        <v>205</v>
      </c>
      <c r="I127" s="23">
        <v>486.68</v>
      </c>
      <c r="J127" s="3">
        <v>113.19</v>
      </c>
      <c r="K127">
        <v>99769.4</v>
      </c>
      <c r="L127" s="22">
        <f>(Table6[[#This Row],[Unit sold Filled]]*Table6[[#This Row],[Unit Price Filled]])-(Table6[[#This Row],[Unit sold Filled]]*Table6[[#This Row],[Unit Cost]])</f>
        <v>76565.45</v>
      </c>
    </row>
    <row r="128" spans="1:12" x14ac:dyDescent="0.3">
      <c r="A128" s="15" t="s">
        <v>155</v>
      </c>
      <c r="B128" s="17" t="s">
        <v>48</v>
      </c>
      <c r="C128" s="15" t="s">
        <v>12</v>
      </c>
      <c r="D128" t="s">
        <v>42</v>
      </c>
      <c r="E128" s="15" t="s">
        <v>24</v>
      </c>
      <c r="F128" s="15" t="s">
        <v>28</v>
      </c>
      <c r="G128" s="18">
        <v>45053</v>
      </c>
      <c r="H128" s="24">
        <v>413</v>
      </c>
      <c r="I128" s="23">
        <v>292.16000000000003</v>
      </c>
      <c r="J128" s="17">
        <v>372.27</v>
      </c>
      <c r="K128">
        <v>120662.08000000002</v>
      </c>
      <c r="L128" s="22">
        <f>(Table6[[#This Row],[Unit sold Filled]]*Table6[[#This Row],[Unit Price Filled]])-(Table6[[#This Row],[Unit sold Filled]]*Table6[[#This Row],[Unit Cost]])</f>
        <v>-33085.429999999964</v>
      </c>
    </row>
    <row r="129" spans="1:12" x14ac:dyDescent="0.3">
      <c r="A129" s="1" t="s">
        <v>156</v>
      </c>
      <c r="B129" s="3" t="s">
        <v>22</v>
      </c>
      <c r="C129" s="1" t="s">
        <v>26</v>
      </c>
      <c r="D129" t="s">
        <v>42</v>
      </c>
      <c r="E129" s="1" t="s">
        <v>24</v>
      </c>
      <c r="F129" s="1" t="s">
        <v>15</v>
      </c>
      <c r="G129" s="2">
        <v>45054</v>
      </c>
      <c r="H129" s="24">
        <v>361</v>
      </c>
      <c r="I129" s="23">
        <v>130.84</v>
      </c>
      <c r="J129" s="3">
        <v>102.72</v>
      </c>
      <c r="K129">
        <v>47233.24</v>
      </c>
      <c r="L129" s="22">
        <f>(Table6[[#This Row],[Unit sold Filled]]*Table6[[#This Row],[Unit Price Filled]])-(Table6[[#This Row],[Unit sold Filled]]*Table6[[#This Row],[Unit Cost]])</f>
        <v>10151.32</v>
      </c>
    </row>
    <row r="130" spans="1:12" x14ac:dyDescent="0.3">
      <c r="A130" s="15" t="s">
        <v>157</v>
      </c>
      <c r="B130" s="17" t="s">
        <v>17</v>
      </c>
      <c r="C130" s="15" t="s">
        <v>26</v>
      </c>
      <c r="D130" t="s">
        <v>27</v>
      </c>
      <c r="E130" s="15" t="s">
        <v>14</v>
      </c>
      <c r="F130" s="15" t="s">
        <v>15</v>
      </c>
      <c r="G130" s="18">
        <v>45055</v>
      </c>
      <c r="H130" s="24">
        <v>493</v>
      </c>
      <c r="I130" s="23">
        <v>263.26</v>
      </c>
      <c r="J130" s="17">
        <v>312.91000000000003</v>
      </c>
      <c r="K130">
        <v>129787.18</v>
      </c>
      <c r="L130" s="22">
        <f>(Table6[[#This Row],[Unit sold Filled]]*Table6[[#This Row],[Unit Price Filled]])-(Table6[[#This Row],[Unit sold Filled]]*Table6[[#This Row],[Unit Cost]])</f>
        <v>-24477.450000000012</v>
      </c>
    </row>
    <row r="131" spans="1:12" x14ac:dyDescent="0.3">
      <c r="A131" s="1" t="s">
        <v>158</v>
      </c>
      <c r="B131" s="3" t="s">
        <v>17</v>
      </c>
      <c r="C131" s="1" t="s">
        <v>31</v>
      </c>
      <c r="D131" t="s">
        <v>19</v>
      </c>
      <c r="E131" s="1" t="s">
        <v>24</v>
      </c>
      <c r="F131" s="1" t="s">
        <v>15</v>
      </c>
      <c r="G131" s="2">
        <v>45056</v>
      </c>
      <c r="H131" s="24">
        <v>251</v>
      </c>
      <c r="I131" s="23">
        <v>174.61</v>
      </c>
      <c r="J131" s="3">
        <v>330.4</v>
      </c>
      <c r="K131">
        <v>43827.11</v>
      </c>
      <c r="L131" s="22">
        <f>(Table6[[#This Row],[Unit sold Filled]]*Table6[[#This Row],[Unit Price Filled]])-(Table6[[#This Row],[Unit sold Filled]]*Table6[[#This Row],[Unit Cost]])</f>
        <v>-39103.289999999994</v>
      </c>
    </row>
    <row r="132" spans="1:12" x14ac:dyDescent="0.3">
      <c r="A132" s="15" t="s">
        <v>159</v>
      </c>
      <c r="B132" s="17" t="s">
        <v>17</v>
      </c>
      <c r="C132" s="15" t="s">
        <v>18</v>
      </c>
      <c r="D132" t="s">
        <v>27</v>
      </c>
      <c r="E132" s="15" t="s">
        <v>24</v>
      </c>
      <c r="F132" s="15" t="s">
        <v>15</v>
      </c>
      <c r="G132" s="18">
        <v>45057</v>
      </c>
      <c r="H132" s="24">
        <v>255.90294117647059</v>
      </c>
      <c r="I132" s="23">
        <v>268.45999999999998</v>
      </c>
      <c r="J132" s="17">
        <v>199.19</v>
      </c>
      <c r="K132">
        <v>68699.703588235294</v>
      </c>
      <c r="L132" s="22">
        <f>(Table6[[#This Row],[Unit sold Filled]]*Table6[[#This Row],[Unit Price Filled]])-(Table6[[#This Row],[Unit sold Filled]]*Table6[[#This Row],[Unit Cost]])</f>
        <v>17726.396735294118</v>
      </c>
    </row>
    <row r="133" spans="1:12" x14ac:dyDescent="0.3">
      <c r="A133" s="1" t="s">
        <v>160</v>
      </c>
      <c r="B133" s="3" t="s">
        <v>22</v>
      </c>
      <c r="C133" s="1" t="s">
        <v>26</v>
      </c>
      <c r="D133" t="s">
        <v>27</v>
      </c>
      <c r="E133" s="1" t="s">
        <v>24</v>
      </c>
      <c r="F133" s="1" t="s">
        <v>15</v>
      </c>
      <c r="G133" s="2">
        <v>45058</v>
      </c>
      <c r="H133" s="24">
        <v>228</v>
      </c>
      <c r="I133" s="23">
        <v>67.239999999999995</v>
      </c>
      <c r="J133" s="3">
        <v>155.77000000000001</v>
      </c>
      <c r="K133">
        <v>15330.72</v>
      </c>
      <c r="L133" s="22">
        <f>(Table6[[#This Row],[Unit sold Filled]]*Table6[[#This Row],[Unit Price Filled]])-(Table6[[#This Row],[Unit sold Filled]]*Table6[[#This Row],[Unit Cost]])</f>
        <v>-20184.840000000004</v>
      </c>
    </row>
    <row r="134" spans="1:12" x14ac:dyDescent="0.3">
      <c r="A134" s="15" t="s">
        <v>161</v>
      </c>
      <c r="B134" s="17" t="s">
        <v>22</v>
      </c>
      <c r="C134" s="15" t="s">
        <v>50</v>
      </c>
      <c r="D134" t="s">
        <v>27</v>
      </c>
      <c r="E134" s="15" t="s">
        <v>14</v>
      </c>
      <c r="F134" s="15" t="s">
        <v>15</v>
      </c>
      <c r="G134" s="18">
        <v>45059</v>
      </c>
      <c r="H134" s="24">
        <v>201</v>
      </c>
      <c r="I134" s="23">
        <v>70.69</v>
      </c>
      <c r="J134" s="17">
        <v>181.15</v>
      </c>
      <c r="K134">
        <v>14208.689999999999</v>
      </c>
      <c r="L134" s="22">
        <f>(Table6[[#This Row],[Unit sold Filled]]*Table6[[#This Row],[Unit Price Filled]])-(Table6[[#This Row],[Unit sold Filled]]*Table6[[#This Row],[Unit Cost]])</f>
        <v>-22202.460000000003</v>
      </c>
    </row>
    <row r="135" spans="1:12" x14ac:dyDescent="0.3">
      <c r="A135" s="1" t="s">
        <v>162</v>
      </c>
      <c r="B135" s="3" t="s">
        <v>22</v>
      </c>
      <c r="C135" s="1" t="s">
        <v>26</v>
      </c>
      <c r="D135" t="s">
        <v>23</v>
      </c>
      <c r="E135" s="1" t="s">
        <v>14</v>
      </c>
      <c r="F135" s="1" t="s">
        <v>15</v>
      </c>
      <c r="G135" s="2">
        <v>45060</v>
      </c>
      <c r="H135" s="24">
        <v>26</v>
      </c>
      <c r="I135" s="23">
        <v>76.05</v>
      </c>
      <c r="J135" s="3">
        <v>92.33</v>
      </c>
      <c r="K135">
        <v>1977.3</v>
      </c>
      <c r="L135" s="22">
        <f>(Table6[[#This Row],[Unit sold Filled]]*Table6[[#This Row],[Unit Price Filled]])-(Table6[[#This Row],[Unit sold Filled]]*Table6[[#This Row],[Unit Cost]])</f>
        <v>-423.28</v>
      </c>
    </row>
    <row r="136" spans="1:12" x14ac:dyDescent="0.3">
      <c r="A136" s="15" t="s">
        <v>163</v>
      </c>
      <c r="B136" s="17" t="s">
        <v>11</v>
      </c>
      <c r="C136" s="15" t="s">
        <v>26</v>
      </c>
      <c r="D136" t="s">
        <v>23</v>
      </c>
      <c r="E136" s="15" t="s">
        <v>14</v>
      </c>
      <c r="F136" s="15" t="s">
        <v>20</v>
      </c>
      <c r="G136" s="18">
        <v>45061</v>
      </c>
      <c r="H136" s="24">
        <v>21</v>
      </c>
      <c r="I136" s="23">
        <v>470.21</v>
      </c>
      <c r="J136" s="17">
        <v>355.98</v>
      </c>
      <c r="K136">
        <v>9874.41</v>
      </c>
      <c r="L136" s="22">
        <f>(Table6[[#This Row],[Unit sold Filled]]*Table6[[#This Row],[Unit Price Filled]])-(Table6[[#This Row],[Unit sold Filled]]*Table6[[#This Row],[Unit Cost]])</f>
        <v>2398.83</v>
      </c>
    </row>
    <row r="137" spans="1:12" x14ac:dyDescent="0.3">
      <c r="A137" s="1" t="s">
        <v>164</v>
      </c>
      <c r="B137" s="3" t="s">
        <v>22</v>
      </c>
      <c r="C137" s="1" t="s">
        <v>18</v>
      </c>
      <c r="D137" t="s">
        <v>27</v>
      </c>
      <c r="E137" s="1" t="s">
        <v>24</v>
      </c>
      <c r="F137" s="1" t="s">
        <v>28</v>
      </c>
      <c r="G137" s="2">
        <v>45062</v>
      </c>
      <c r="H137" s="24">
        <v>415</v>
      </c>
      <c r="I137" s="23">
        <v>367.78</v>
      </c>
      <c r="J137" s="3">
        <v>181.35</v>
      </c>
      <c r="K137">
        <v>152628.69999999998</v>
      </c>
      <c r="L137" s="22">
        <f>(Table6[[#This Row],[Unit sold Filled]]*Table6[[#This Row],[Unit Price Filled]])-(Table6[[#This Row],[Unit sold Filled]]*Table6[[#This Row],[Unit Cost]])</f>
        <v>77368.449999999983</v>
      </c>
    </row>
    <row r="138" spans="1:12" x14ac:dyDescent="0.3">
      <c r="A138" s="15" t="s">
        <v>165</v>
      </c>
      <c r="B138" s="17" t="s">
        <v>22</v>
      </c>
      <c r="C138" s="15" t="s">
        <v>12</v>
      </c>
      <c r="D138" t="s">
        <v>19</v>
      </c>
      <c r="E138" s="15" t="s">
        <v>24</v>
      </c>
      <c r="F138" s="15" t="s">
        <v>15</v>
      </c>
      <c r="G138" s="18">
        <v>45063</v>
      </c>
      <c r="H138" s="24">
        <v>410</v>
      </c>
      <c r="I138" s="23">
        <v>85.38</v>
      </c>
      <c r="J138" s="17">
        <v>353.22</v>
      </c>
      <c r="K138">
        <v>35005.799999999996</v>
      </c>
      <c r="L138" s="22">
        <f>(Table6[[#This Row],[Unit sold Filled]]*Table6[[#This Row],[Unit Price Filled]])-(Table6[[#This Row],[Unit sold Filled]]*Table6[[#This Row],[Unit Cost]])</f>
        <v>-109814.40000000002</v>
      </c>
    </row>
    <row r="139" spans="1:12" x14ac:dyDescent="0.3">
      <c r="A139" s="1" t="s">
        <v>166</v>
      </c>
      <c r="B139" s="3" t="s">
        <v>22</v>
      </c>
      <c r="C139" s="1" t="s">
        <v>26</v>
      </c>
      <c r="D139" t="s">
        <v>42</v>
      </c>
      <c r="E139" s="1" t="s">
        <v>14</v>
      </c>
      <c r="F139" s="1" t="s">
        <v>20</v>
      </c>
      <c r="G139" s="2">
        <v>45064</v>
      </c>
      <c r="H139" s="24">
        <v>403</v>
      </c>
      <c r="I139" s="23">
        <v>98.23</v>
      </c>
      <c r="J139" s="3">
        <v>44.07</v>
      </c>
      <c r="K139">
        <v>39586.69</v>
      </c>
      <c r="L139" s="22">
        <f>(Table6[[#This Row],[Unit sold Filled]]*Table6[[#This Row],[Unit Price Filled]])-(Table6[[#This Row],[Unit sold Filled]]*Table6[[#This Row],[Unit Cost]])</f>
        <v>21826.480000000003</v>
      </c>
    </row>
    <row r="140" spans="1:12" x14ac:dyDescent="0.3">
      <c r="A140" s="15" t="s">
        <v>167</v>
      </c>
      <c r="B140" s="17" t="s">
        <v>11</v>
      </c>
      <c r="C140" s="15" t="s">
        <v>31</v>
      </c>
      <c r="D140" t="s">
        <v>19</v>
      </c>
      <c r="E140" s="15" t="s">
        <v>24</v>
      </c>
      <c r="F140" s="15" t="s">
        <v>20</v>
      </c>
      <c r="G140" s="18">
        <v>45065</v>
      </c>
      <c r="H140" s="24">
        <v>383</v>
      </c>
      <c r="I140" s="23">
        <v>366.76</v>
      </c>
      <c r="J140" s="17">
        <v>395.33</v>
      </c>
      <c r="K140">
        <v>140469.07999999999</v>
      </c>
      <c r="L140" s="22">
        <f>(Table6[[#This Row],[Unit sold Filled]]*Table6[[#This Row],[Unit Price Filled]])-(Table6[[#This Row],[Unit sold Filled]]*Table6[[#This Row],[Unit Cost]])</f>
        <v>-10942.309999999998</v>
      </c>
    </row>
    <row r="141" spans="1:12" x14ac:dyDescent="0.3">
      <c r="A141" s="1" t="s">
        <v>168</v>
      </c>
      <c r="B141" s="3" t="s">
        <v>22</v>
      </c>
      <c r="C141" s="1" t="s">
        <v>12</v>
      </c>
      <c r="D141" t="s">
        <v>13</v>
      </c>
      <c r="E141" s="1" t="s">
        <v>24</v>
      </c>
      <c r="F141" s="1" t="s">
        <v>20</v>
      </c>
      <c r="G141" s="2">
        <v>45066</v>
      </c>
      <c r="H141" s="24">
        <v>202</v>
      </c>
      <c r="I141" s="23">
        <v>82.3</v>
      </c>
      <c r="J141" s="3">
        <v>178.42</v>
      </c>
      <c r="K141">
        <v>16624.599999999999</v>
      </c>
      <c r="L141" s="22">
        <f>(Table6[[#This Row],[Unit sold Filled]]*Table6[[#This Row],[Unit Price Filled]])-(Table6[[#This Row],[Unit sold Filled]]*Table6[[#This Row],[Unit Cost]])</f>
        <v>-19416.239999999998</v>
      </c>
    </row>
    <row r="142" spans="1:12" x14ac:dyDescent="0.3">
      <c r="A142" s="15" t="s">
        <v>169</v>
      </c>
      <c r="B142" s="17" t="s">
        <v>17</v>
      </c>
      <c r="C142" s="15" t="s">
        <v>50</v>
      </c>
      <c r="D142" t="s">
        <v>23</v>
      </c>
      <c r="E142" s="15" t="s">
        <v>24</v>
      </c>
      <c r="F142" s="15" t="s">
        <v>28</v>
      </c>
      <c r="G142" s="18">
        <v>45067</v>
      </c>
      <c r="H142" s="24">
        <v>31</v>
      </c>
      <c r="I142" s="23">
        <v>121.11</v>
      </c>
      <c r="J142" s="17">
        <v>21.04</v>
      </c>
      <c r="K142">
        <v>3754.41</v>
      </c>
      <c r="L142" s="22">
        <f>(Table6[[#This Row],[Unit sold Filled]]*Table6[[#This Row],[Unit Price Filled]])-(Table6[[#This Row],[Unit sold Filled]]*Table6[[#This Row],[Unit Cost]])</f>
        <v>3102.17</v>
      </c>
    </row>
    <row r="143" spans="1:12" x14ac:dyDescent="0.3">
      <c r="A143" s="1" t="s">
        <v>170</v>
      </c>
      <c r="B143" s="3" t="s">
        <v>22</v>
      </c>
      <c r="C143" s="1" t="s">
        <v>18</v>
      </c>
      <c r="D143" t="s">
        <v>42</v>
      </c>
      <c r="E143" s="1" t="s">
        <v>24</v>
      </c>
      <c r="F143" s="1" t="s">
        <v>15</v>
      </c>
      <c r="G143" s="2">
        <v>45068</v>
      </c>
      <c r="H143" s="24">
        <v>483</v>
      </c>
      <c r="I143" s="23">
        <v>481.86</v>
      </c>
      <c r="J143" s="3">
        <v>17.13</v>
      </c>
      <c r="K143">
        <v>232738.38</v>
      </c>
      <c r="L143" s="22">
        <f>(Table6[[#This Row],[Unit sold Filled]]*Table6[[#This Row],[Unit Price Filled]])-(Table6[[#This Row],[Unit sold Filled]]*Table6[[#This Row],[Unit Cost]])</f>
        <v>224464.59</v>
      </c>
    </row>
    <row r="144" spans="1:12" x14ac:dyDescent="0.3">
      <c r="A144" s="15" t="s">
        <v>171</v>
      </c>
      <c r="B144" s="17" t="s">
        <v>17</v>
      </c>
      <c r="C144" s="15" t="s">
        <v>50</v>
      </c>
      <c r="D144" t="s">
        <v>42</v>
      </c>
      <c r="E144" s="15" t="s">
        <v>24</v>
      </c>
      <c r="F144" s="15" t="s">
        <v>20</v>
      </c>
      <c r="G144" s="18">
        <v>45069</v>
      </c>
      <c r="H144" s="24">
        <v>129</v>
      </c>
      <c r="I144" s="23">
        <v>131.38</v>
      </c>
      <c r="J144" s="17">
        <v>298.99</v>
      </c>
      <c r="K144">
        <v>16948.02</v>
      </c>
      <c r="L144" s="22">
        <f>(Table6[[#This Row],[Unit sold Filled]]*Table6[[#This Row],[Unit Price Filled]])-(Table6[[#This Row],[Unit sold Filled]]*Table6[[#This Row],[Unit Cost]])</f>
        <v>-21621.69</v>
      </c>
    </row>
    <row r="145" spans="1:12" x14ac:dyDescent="0.3">
      <c r="A145" s="1" t="s">
        <v>172</v>
      </c>
      <c r="B145" s="3" t="s">
        <v>17</v>
      </c>
      <c r="C145" s="1" t="s">
        <v>12</v>
      </c>
      <c r="D145" t="s">
        <v>13</v>
      </c>
      <c r="E145" s="1" t="s">
        <v>14</v>
      </c>
      <c r="F145" s="1" t="s">
        <v>28</v>
      </c>
      <c r="G145" s="2">
        <v>45070</v>
      </c>
      <c r="H145" s="24">
        <v>219</v>
      </c>
      <c r="I145" s="23">
        <v>332.51</v>
      </c>
      <c r="J145" s="3">
        <v>264.3</v>
      </c>
      <c r="K145">
        <v>72819.69</v>
      </c>
      <c r="L145" s="22">
        <f>(Table6[[#This Row],[Unit sold Filled]]*Table6[[#This Row],[Unit Price Filled]])-(Table6[[#This Row],[Unit sold Filled]]*Table6[[#This Row],[Unit Cost]])</f>
        <v>14937.989999999998</v>
      </c>
    </row>
    <row r="146" spans="1:12" x14ac:dyDescent="0.3">
      <c r="A146" s="15" t="s">
        <v>173</v>
      </c>
      <c r="B146" s="17" t="s">
        <v>17</v>
      </c>
      <c r="C146" s="15" t="s">
        <v>12</v>
      </c>
      <c r="D146" t="s">
        <v>13</v>
      </c>
      <c r="E146" s="15" t="s">
        <v>24</v>
      </c>
      <c r="F146" s="15" t="s">
        <v>28</v>
      </c>
      <c r="G146" s="18">
        <v>45071</v>
      </c>
      <c r="H146" s="24">
        <v>315</v>
      </c>
      <c r="I146" s="23">
        <v>489.42</v>
      </c>
      <c r="J146" s="17">
        <v>321.25</v>
      </c>
      <c r="K146">
        <v>154167.30000000002</v>
      </c>
      <c r="L146" s="22">
        <f>(Table6[[#This Row],[Unit sold Filled]]*Table6[[#This Row],[Unit Price Filled]])-(Table6[[#This Row],[Unit sold Filled]]*Table6[[#This Row],[Unit Cost]])</f>
        <v>52973.550000000017</v>
      </c>
    </row>
    <row r="147" spans="1:12" x14ac:dyDescent="0.3">
      <c r="A147" s="1" t="s">
        <v>174</v>
      </c>
      <c r="B147" s="3" t="s">
        <v>11</v>
      </c>
      <c r="C147" s="1" t="s">
        <v>12</v>
      </c>
      <c r="D147" t="s">
        <v>27</v>
      </c>
      <c r="E147" s="1" t="s">
        <v>14</v>
      </c>
      <c r="F147" s="1" t="s">
        <v>28</v>
      </c>
      <c r="G147" s="2">
        <v>45072</v>
      </c>
      <c r="H147" s="24">
        <v>279</v>
      </c>
      <c r="I147" s="23">
        <v>190.28</v>
      </c>
      <c r="J147" s="3">
        <v>43.94</v>
      </c>
      <c r="K147">
        <v>53088.12</v>
      </c>
      <c r="L147" s="22">
        <f>(Table6[[#This Row],[Unit sold Filled]]*Table6[[#This Row],[Unit Price Filled]])-(Table6[[#This Row],[Unit sold Filled]]*Table6[[#This Row],[Unit Cost]])</f>
        <v>40828.86</v>
      </c>
    </row>
    <row r="148" spans="1:12" x14ac:dyDescent="0.3">
      <c r="A148" s="15" t="s">
        <v>175</v>
      </c>
      <c r="B148" s="17" t="s">
        <v>11</v>
      </c>
      <c r="C148" s="15" t="s">
        <v>50</v>
      </c>
      <c r="D148" t="s">
        <v>23</v>
      </c>
      <c r="E148" s="15" t="s">
        <v>24</v>
      </c>
      <c r="F148" s="15" t="s">
        <v>20</v>
      </c>
      <c r="G148" s="18">
        <v>45073</v>
      </c>
      <c r="H148" s="24">
        <v>201</v>
      </c>
      <c r="I148" s="23">
        <v>13.67</v>
      </c>
      <c r="J148" s="17">
        <v>16.16</v>
      </c>
      <c r="K148">
        <v>2747.67</v>
      </c>
      <c r="L148" s="22">
        <f>(Table6[[#This Row],[Unit sold Filled]]*Table6[[#This Row],[Unit Price Filled]])-(Table6[[#This Row],[Unit sold Filled]]*Table6[[#This Row],[Unit Cost]])</f>
        <v>-500.48999999999978</v>
      </c>
    </row>
    <row r="149" spans="1:12" x14ac:dyDescent="0.3">
      <c r="A149" s="1" t="s">
        <v>176</v>
      </c>
      <c r="B149" s="3" t="s">
        <v>11</v>
      </c>
      <c r="C149" s="1" t="s">
        <v>12</v>
      </c>
      <c r="D149" t="s">
        <v>23</v>
      </c>
      <c r="E149" s="1" t="s">
        <v>14</v>
      </c>
      <c r="F149" s="1" t="s">
        <v>15</v>
      </c>
      <c r="G149" s="2">
        <v>45074</v>
      </c>
      <c r="H149" s="24">
        <v>184</v>
      </c>
      <c r="I149" s="23">
        <v>125.85</v>
      </c>
      <c r="J149" s="3">
        <v>204.41</v>
      </c>
      <c r="K149">
        <v>23156.399999999998</v>
      </c>
      <c r="L149" s="22">
        <f>(Table6[[#This Row],[Unit sold Filled]]*Table6[[#This Row],[Unit Price Filled]])-(Table6[[#This Row],[Unit sold Filled]]*Table6[[#This Row],[Unit Cost]])</f>
        <v>-14455.040000000005</v>
      </c>
    </row>
    <row r="150" spans="1:12" x14ac:dyDescent="0.3">
      <c r="A150" s="15" t="s">
        <v>177</v>
      </c>
      <c r="B150" s="17" t="s">
        <v>22</v>
      </c>
      <c r="C150" s="15" t="s">
        <v>50</v>
      </c>
      <c r="D150" t="s">
        <v>19</v>
      </c>
      <c r="E150" s="15" t="s">
        <v>24</v>
      </c>
      <c r="F150" s="15" t="s">
        <v>20</v>
      </c>
      <c r="G150" s="18">
        <v>45075</v>
      </c>
      <c r="H150" s="24">
        <v>294</v>
      </c>
      <c r="I150" s="23">
        <v>416.28</v>
      </c>
      <c r="J150" s="17">
        <v>156.26</v>
      </c>
      <c r="K150">
        <v>122386.31999999999</v>
      </c>
      <c r="L150" s="22">
        <f>(Table6[[#This Row],[Unit sold Filled]]*Table6[[#This Row],[Unit Price Filled]])-(Table6[[#This Row],[Unit sold Filled]]*Table6[[#This Row],[Unit Cost]])</f>
        <v>76445.88</v>
      </c>
    </row>
    <row r="151" spans="1:12" x14ac:dyDescent="0.3">
      <c r="A151" s="1" t="s">
        <v>178</v>
      </c>
      <c r="B151" s="3" t="s">
        <v>17</v>
      </c>
      <c r="C151" s="1" t="s">
        <v>12</v>
      </c>
      <c r="D151" t="s">
        <v>27</v>
      </c>
      <c r="E151" s="1" t="s">
        <v>14</v>
      </c>
      <c r="F151" s="1" t="s">
        <v>20</v>
      </c>
      <c r="G151" s="2">
        <v>45076</v>
      </c>
      <c r="H151" s="24">
        <v>213</v>
      </c>
      <c r="I151" s="23">
        <v>432.98</v>
      </c>
      <c r="J151" s="3">
        <v>185.85</v>
      </c>
      <c r="K151">
        <v>92224.74</v>
      </c>
      <c r="L151" s="22">
        <f>(Table6[[#This Row],[Unit sold Filled]]*Table6[[#This Row],[Unit Price Filled]])-(Table6[[#This Row],[Unit sold Filled]]*Table6[[#This Row],[Unit Cost]])</f>
        <v>52638.69000000001</v>
      </c>
    </row>
    <row r="152" spans="1:12" x14ac:dyDescent="0.3">
      <c r="A152" s="15" t="s">
        <v>179</v>
      </c>
      <c r="B152" s="17" t="s">
        <v>11</v>
      </c>
      <c r="C152" s="15" t="s">
        <v>31</v>
      </c>
      <c r="D152" t="s">
        <v>27</v>
      </c>
      <c r="E152" s="15" t="s">
        <v>24</v>
      </c>
      <c r="F152" s="15" t="s">
        <v>15</v>
      </c>
      <c r="G152" s="18">
        <v>45077</v>
      </c>
      <c r="H152" s="24">
        <v>173</v>
      </c>
      <c r="I152" s="23">
        <v>385.42</v>
      </c>
      <c r="J152" s="17">
        <v>396.65</v>
      </c>
      <c r="K152">
        <v>66677.66</v>
      </c>
      <c r="L152" s="22">
        <f>(Table6[[#This Row],[Unit sold Filled]]*Table6[[#This Row],[Unit Price Filled]])-(Table6[[#This Row],[Unit sold Filled]]*Table6[[#This Row],[Unit Cost]])</f>
        <v>-1942.7899999999936</v>
      </c>
    </row>
    <row r="153" spans="1:12" x14ac:dyDescent="0.3">
      <c r="A153" s="1" t="s">
        <v>180</v>
      </c>
      <c r="B153" s="3" t="s">
        <v>11</v>
      </c>
      <c r="C153" s="1" t="s">
        <v>12</v>
      </c>
      <c r="D153" t="s">
        <v>27</v>
      </c>
      <c r="E153" s="1" t="s">
        <v>14</v>
      </c>
      <c r="F153" s="1" t="s">
        <v>15</v>
      </c>
      <c r="G153" s="2">
        <v>45078</v>
      </c>
      <c r="H153" s="24">
        <v>260</v>
      </c>
      <c r="I153" s="23">
        <v>60.99</v>
      </c>
      <c r="J153" s="3">
        <v>388.36</v>
      </c>
      <c r="K153">
        <v>15857.4</v>
      </c>
      <c r="L153" s="22">
        <f>(Table6[[#This Row],[Unit sold Filled]]*Table6[[#This Row],[Unit Price Filled]])-(Table6[[#This Row],[Unit sold Filled]]*Table6[[#This Row],[Unit Cost]])</f>
        <v>-85116.200000000012</v>
      </c>
    </row>
    <row r="154" spans="1:12" x14ac:dyDescent="0.3">
      <c r="A154" s="15" t="s">
        <v>181</v>
      </c>
      <c r="B154" s="17" t="s">
        <v>22</v>
      </c>
      <c r="C154" s="15" t="s">
        <v>50</v>
      </c>
      <c r="D154" t="s">
        <v>27</v>
      </c>
      <c r="E154" s="15" t="s">
        <v>24</v>
      </c>
      <c r="F154" s="15" t="s">
        <v>15</v>
      </c>
      <c r="G154" s="18">
        <v>45079</v>
      </c>
      <c r="H154" s="24">
        <v>236</v>
      </c>
      <c r="I154" s="23">
        <v>398.78</v>
      </c>
      <c r="J154" s="17">
        <v>377.04</v>
      </c>
      <c r="K154">
        <v>94112.079999999987</v>
      </c>
      <c r="L154" s="22">
        <f>(Table6[[#This Row],[Unit sold Filled]]*Table6[[#This Row],[Unit Price Filled]])-(Table6[[#This Row],[Unit sold Filled]]*Table6[[#This Row],[Unit Cost]])</f>
        <v>5130.6399999999849</v>
      </c>
    </row>
    <row r="155" spans="1:12" x14ac:dyDescent="0.3">
      <c r="A155" s="1" t="s">
        <v>182</v>
      </c>
      <c r="B155" s="3" t="s">
        <v>11</v>
      </c>
      <c r="C155" s="1" t="s">
        <v>26</v>
      </c>
      <c r="D155" t="s">
        <v>23</v>
      </c>
      <c r="E155" s="1" t="s">
        <v>14</v>
      </c>
      <c r="F155" s="1" t="s">
        <v>28</v>
      </c>
      <c r="G155" s="2">
        <v>45080</v>
      </c>
      <c r="H155" s="24">
        <v>445</v>
      </c>
      <c r="I155" s="23">
        <v>459.75</v>
      </c>
      <c r="J155" s="3">
        <v>313.97000000000003</v>
      </c>
      <c r="K155">
        <v>204588.75</v>
      </c>
      <c r="L155" s="22">
        <f>(Table6[[#This Row],[Unit sold Filled]]*Table6[[#This Row],[Unit Price Filled]])-(Table6[[#This Row],[Unit sold Filled]]*Table6[[#This Row],[Unit Cost]])</f>
        <v>64872.099999999977</v>
      </c>
    </row>
    <row r="156" spans="1:12" x14ac:dyDescent="0.3">
      <c r="A156" s="15" t="s">
        <v>183</v>
      </c>
      <c r="B156" s="17" t="s">
        <v>22</v>
      </c>
      <c r="C156" s="15" t="s">
        <v>12</v>
      </c>
      <c r="D156" t="s">
        <v>23</v>
      </c>
      <c r="E156" s="15" t="s">
        <v>24</v>
      </c>
      <c r="F156" s="15" t="s">
        <v>15</v>
      </c>
      <c r="G156" s="18">
        <v>45081</v>
      </c>
      <c r="H156" s="24">
        <v>390</v>
      </c>
      <c r="I156" s="23">
        <v>302.3</v>
      </c>
      <c r="J156" s="17">
        <v>143.22999999999999</v>
      </c>
      <c r="K156">
        <v>117897</v>
      </c>
      <c r="L156" s="22">
        <f>(Table6[[#This Row],[Unit sold Filled]]*Table6[[#This Row],[Unit Price Filled]])-(Table6[[#This Row],[Unit sold Filled]]*Table6[[#This Row],[Unit Cost]])</f>
        <v>62037.3</v>
      </c>
    </row>
    <row r="157" spans="1:12" x14ac:dyDescent="0.3">
      <c r="A157" s="1" t="s">
        <v>184</v>
      </c>
      <c r="B157" s="3" t="s">
        <v>48</v>
      </c>
      <c r="C157" s="1" t="s">
        <v>26</v>
      </c>
      <c r="D157" t="s">
        <v>27</v>
      </c>
      <c r="E157" s="1" t="s">
        <v>14</v>
      </c>
      <c r="F157" s="1" t="s">
        <v>20</v>
      </c>
      <c r="G157" s="2">
        <v>45082</v>
      </c>
      <c r="H157" s="24">
        <v>469</v>
      </c>
      <c r="I157" s="23">
        <v>470.73</v>
      </c>
      <c r="J157" s="3">
        <v>166.03</v>
      </c>
      <c r="K157">
        <v>220772.37</v>
      </c>
      <c r="L157" s="22">
        <f>(Table6[[#This Row],[Unit sold Filled]]*Table6[[#This Row],[Unit Price Filled]])-(Table6[[#This Row],[Unit sold Filled]]*Table6[[#This Row],[Unit Cost]])</f>
        <v>142904.29999999999</v>
      </c>
    </row>
    <row r="158" spans="1:12" x14ac:dyDescent="0.3">
      <c r="A158" s="15" t="s">
        <v>185</v>
      </c>
      <c r="B158" s="17" t="s">
        <v>11</v>
      </c>
      <c r="C158" s="15" t="s">
        <v>31</v>
      </c>
      <c r="D158" t="s">
        <v>19</v>
      </c>
      <c r="E158" s="15" t="s">
        <v>14</v>
      </c>
      <c r="F158" s="15" t="s">
        <v>15</v>
      </c>
      <c r="G158" s="18">
        <v>45083</v>
      </c>
      <c r="H158" s="24">
        <v>16</v>
      </c>
      <c r="I158" s="23">
        <v>249.64520588235297</v>
      </c>
      <c r="J158" s="17">
        <v>220.75</v>
      </c>
      <c r="K158">
        <v>3994.3232941176475</v>
      </c>
      <c r="L158" s="22">
        <f>(Table6[[#This Row],[Unit sold Filled]]*Table6[[#This Row],[Unit Price Filled]])-(Table6[[#This Row],[Unit sold Filled]]*Table6[[#This Row],[Unit Cost]])</f>
        <v>462.32329411764749</v>
      </c>
    </row>
    <row r="159" spans="1:12" x14ac:dyDescent="0.3">
      <c r="A159" s="1" t="s">
        <v>186</v>
      </c>
      <c r="B159" s="3" t="s">
        <v>48</v>
      </c>
      <c r="C159" s="1" t="s">
        <v>18</v>
      </c>
      <c r="D159" t="s">
        <v>42</v>
      </c>
      <c r="E159" s="1" t="s">
        <v>24</v>
      </c>
      <c r="F159" s="1" t="s">
        <v>20</v>
      </c>
      <c r="G159" s="2">
        <v>45084</v>
      </c>
      <c r="H159" s="24">
        <v>38</v>
      </c>
      <c r="I159" s="23">
        <v>335.15</v>
      </c>
      <c r="J159" s="3">
        <v>332.55</v>
      </c>
      <c r="K159">
        <v>12735.699999999999</v>
      </c>
      <c r="L159" s="22">
        <f>(Table6[[#This Row],[Unit sold Filled]]*Table6[[#This Row],[Unit Price Filled]])-(Table6[[#This Row],[Unit sold Filled]]*Table6[[#This Row],[Unit Cost]])</f>
        <v>98.799999999999272</v>
      </c>
    </row>
    <row r="160" spans="1:12" x14ac:dyDescent="0.3">
      <c r="A160" s="15" t="s">
        <v>187</v>
      </c>
      <c r="B160" s="17" t="s">
        <v>22</v>
      </c>
      <c r="C160" s="15" t="s">
        <v>31</v>
      </c>
      <c r="D160" t="s">
        <v>389</v>
      </c>
      <c r="E160" s="15" t="s">
        <v>24</v>
      </c>
      <c r="F160" s="15" t="s">
        <v>28</v>
      </c>
      <c r="G160" s="18">
        <v>45085</v>
      </c>
      <c r="H160" s="24">
        <v>404</v>
      </c>
      <c r="I160" s="23">
        <v>290.70999999999998</v>
      </c>
      <c r="J160" s="17">
        <v>29.35</v>
      </c>
      <c r="K160">
        <v>117446.84</v>
      </c>
      <c r="L160" s="22">
        <f>(Table6[[#This Row],[Unit sold Filled]]*Table6[[#This Row],[Unit Price Filled]])-(Table6[[#This Row],[Unit sold Filled]]*Table6[[#This Row],[Unit Cost]])</f>
        <v>105589.44</v>
      </c>
    </row>
    <row r="161" spans="1:12" x14ac:dyDescent="0.3">
      <c r="A161" s="1" t="s">
        <v>188</v>
      </c>
      <c r="B161" s="3" t="s">
        <v>17</v>
      </c>
      <c r="C161" s="1" t="s">
        <v>12</v>
      </c>
      <c r="D161" t="s">
        <v>19</v>
      </c>
      <c r="E161" s="1" t="s">
        <v>14</v>
      </c>
      <c r="F161" s="1" t="s">
        <v>20</v>
      </c>
      <c r="G161" s="2">
        <v>45086</v>
      </c>
      <c r="H161" s="24">
        <v>42</v>
      </c>
      <c r="I161" s="23">
        <v>177.54</v>
      </c>
      <c r="J161" s="3">
        <v>170.87</v>
      </c>
      <c r="K161">
        <v>7456.6799999999994</v>
      </c>
      <c r="L161" s="22">
        <f>(Table6[[#This Row],[Unit sold Filled]]*Table6[[#This Row],[Unit Price Filled]])-(Table6[[#This Row],[Unit sold Filled]]*Table6[[#This Row],[Unit Cost]])</f>
        <v>280.13999999999942</v>
      </c>
    </row>
    <row r="162" spans="1:12" x14ac:dyDescent="0.3">
      <c r="A162" s="15" t="s">
        <v>189</v>
      </c>
      <c r="B162" s="17" t="s">
        <v>11</v>
      </c>
      <c r="C162" s="15" t="s">
        <v>26</v>
      </c>
      <c r="D162" t="s">
        <v>27</v>
      </c>
      <c r="E162" s="15" t="s">
        <v>24</v>
      </c>
      <c r="F162" s="15" t="s">
        <v>20</v>
      </c>
      <c r="G162" s="18">
        <v>45087</v>
      </c>
      <c r="H162" s="24">
        <v>143</v>
      </c>
      <c r="I162" s="23">
        <v>83.85</v>
      </c>
      <c r="J162" s="17">
        <v>34.880000000000003</v>
      </c>
      <c r="K162">
        <v>11990.55</v>
      </c>
      <c r="L162" s="22">
        <f>(Table6[[#This Row],[Unit sold Filled]]*Table6[[#This Row],[Unit Price Filled]])-(Table6[[#This Row],[Unit sold Filled]]*Table6[[#This Row],[Unit Cost]])</f>
        <v>7002.7099999999991</v>
      </c>
    </row>
    <row r="163" spans="1:12" x14ac:dyDescent="0.3">
      <c r="A163" s="1" t="s">
        <v>190</v>
      </c>
      <c r="B163" s="3" t="s">
        <v>22</v>
      </c>
      <c r="C163" s="1" t="s">
        <v>26</v>
      </c>
      <c r="D163" t="s">
        <v>23</v>
      </c>
      <c r="E163" s="1" t="s">
        <v>14</v>
      </c>
      <c r="F163" s="1" t="s">
        <v>15</v>
      </c>
      <c r="G163" s="2">
        <v>45088</v>
      </c>
      <c r="H163" s="24">
        <v>376</v>
      </c>
      <c r="I163" s="23">
        <v>304.45</v>
      </c>
      <c r="J163" s="3">
        <v>206.83</v>
      </c>
      <c r="K163">
        <v>114473.2</v>
      </c>
      <c r="L163" s="22">
        <f>(Table6[[#This Row],[Unit sold Filled]]*Table6[[#This Row],[Unit Price Filled]])-(Table6[[#This Row],[Unit sold Filled]]*Table6[[#This Row],[Unit Cost]])</f>
        <v>36705.119999999995</v>
      </c>
    </row>
    <row r="164" spans="1:12" x14ac:dyDescent="0.3">
      <c r="A164" s="15" t="s">
        <v>191</v>
      </c>
      <c r="B164" s="17" t="s">
        <v>17</v>
      </c>
      <c r="C164" s="15" t="s">
        <v>50</v>
      </c>
      <c r="D164" t="s">
        <v>42</v>
      </c>
      <c r="E164" s="15" t="s">
        <v>14</v>
      </c>
      <c r="F164" s="15" t="s">
        <v>15</v>
      </c>
      <c r="G164" s="18">
        <v>45089</v>
      </c>
      <c r="H164" s="24">
        <v>88</v>
      </c>
      <c r="I164" s="23">
        <v>162.47</v>
      </c>
      <c r="J164" s="17">
        <v>359.76</v>
      </c>
      <c r="K164">
        <v>14297.36</v>
      </c>
      <c r="L164" s="22">
        <f>(Table6[[#This Row],[Unit sold Filled]]*Table6[[#This Row],[Unit Price Filled]])-(Table6[[#This Row],[Unit sold Filled]]*Table6[[#This Row],[Unit Cost]])</f>
        <v>-17361.519999999997</v>
      </c>
    </row>
    <row r="165" spans="1:12" x14ac:dyDescent="0.3">
      <c r="A165" s="1" t="s">
        <v>192</v>
      </c>
      <c r="B165" s="3" t="s">
        <v>17</v>
      </c>
      <c r="C165" s="1" t="s">
        <v>26</v>
      </c>
      <c r="D165" t="s">
        <v>13</v>
      </c>
      <c r="E165" s="1" t="s">
        <v>14</v>
      </c>
      <c r="F165" s="1" t="s">
        <v>20</v>
      </c>
      <c r="G165" s="2">
        <v>45090</v>
      </c>
      <c r="H165" s="24">
        <v>425</v>
      </c>
      <c r="I165" s="23">
        <v>433.89</v>
      </c>
      <c r="J165" s="3">
        <v>313.43</v>
      </c>
      <c r="K165">
        <v>184403.25</v>
      </c>
      <c r="L165" s="22">
        <f>(Table6[[#This Row],[Unit sold Filled]]*Table6[[#This Row],[Unit Price Filled]])-(Table6[[#This Row],[Unit sold Filled]]*Table6[[#This Row],[Unit Cost]])</f>
        <v>51195.5</v>
      </c>
    </row>
    <row r="166" spans="1:12" x14ac:dyDescent="0.3">
      <c r="A166" s="15" t="s">
        <v>193</v>
      </c>
      <c r="B166" s="17" t="s">
        <v>48</v>
      </c>
      <c r="C166" s="15" t="s">
        <v>50</v>
      </c>
      <c r="D166" t="s">
        <v>13</v>
      </c>
      <c r="E166" s="15" t="s">
        <v>24</v>
      </c>
      <c r="F166" s="15" t="s">
        <v>15</v>
      </c>
      <c r="G166" s="18">
        <v>45091</v>
      </c>
      <c r="H166" s="24">
        <v>444</v>
      </c>
      <c r="I166" s="23">
        <v>496.7</v>
      </c>
      <c r="J166" s="17">
        <v>92.68</v>
      </c>
      <c r="K166">
        <v>220534.8</v>
      </c>
      <c r="L166" s="22">
        <f>(Table6[[#This Row],[Unit sold Filled]]*Table6[[#This Row],[Unit Price Filled]])-(Table6[[#This Row],[Unit sold Filled]]*Table6[[#This Row],[Unit Cost]])</f>
        <v>179384.87999999998</v>
      </c>
    </row>
    <row r="167" spans="1:12" x14ac:dyDescent="0.3">
      <c r="A167" s="1" t="s">
        <v>194</v>
      </c>
      <c r="B167" s="3" t="s">
        <v>22</v>
      </c>
      <c r="C167" s="1" t="s">
        <v>18</v>
      </c>
      <c r="D167" t="s">
        <v>19</v>
      </c>
      <c r="E167" s="1" t="s">
        <v>14</v>
      </c>
      <c r="F167" s="1" t="s">
        <v>28</v>
      </c>
      <c r="G167" s="2">
        <v>45092</v>
      </c>
      <c r="H167" s="24">
        <v>468</v>
      </c>
      <c r="I167" s="23">
        <v>377.45</v>
      </c>
      <c r="J167" s="3">
        <v>390.44</v>
      </c>
      <c r="K167">
        <v>176646.6</v>
      </c>
      <c r="L167" s="22">
        <f>(Table6[[#This Row],[Unit sold Filled]]*Table6[[#This Row],[Unit Price Filled]])-(Table6[[#This Row],[Unit sold Filled]]*Table6[[#This Row],[Unit Cost]])</f>
        <v>-6079.320000000007</v>
      </c>
    </row>
    <row r="168" spans="1:12" x14ac:dyDescent="0.3">
      <c r="A168" s="15" t="s">
        <v>195</v>
      </c>
      <c r="B168" s="17" t="s">
        <v>17</v>
      </c>
      <c r="C168" s="15" t="s">
        <v>12</v>
      </c>
      <c r="D168" t="s">
        <v>27</v>
      </c>
      <c r="E168" s="15" t="s">
        <v>14</v>
      </c>
      <c r="F168" s="15" t="s">
        <v>28</v>
      </c>
      <c r="G168" s="18">
        <v>45093</v>
      </c>
      <c r="H168" s="24">
        <v>67</v>
      </c>
      <c r="I168" s="23">
        <v>49.79</v>
      </c>
      <c r="J168" s="17">
        <v>267.61</v>
      </c>
      <c r="K168">
        <v>3335.93</v>
      </c>
      <c r="L168" s="22">
        <f>(Table6[[#This Row],[Unit sold Filled]]*Table6[[#This Row],[Unit Price Filled]])-(Table6[[#This Row],[Unit sold Filled]]*Table6[[#This Row],[Unit Cost]])</f>
        <v>-14593.940000000002</v>
      </c>
    </row>
    <row r="169" spans="1:12" x14ac:dyDescent="0.3">
      <c r="A169" s="1" t="s">
        <v>196</v>
      </c>
      <c r="B169" s="3" t="s">
        <v>11</v>
      </c>
      <c r="C169" s="1" t="s">
        <v>50</v>
      </c>
      <c r="D169" t="s">
        <v>42</v>
      </c>
      <c r="E169" s="1" t="s">
        <v>24</v>
      </c>
      <c r="F169" s="1" t="s">
        <v>15</v>
      </c>
      <c r="G169" s="2">
        <v>45094</v>
      </c>
      <c r="H169" s="24">
        <v>480</v>
      </c>
      <c r="I169" s="23">
        <v>147.9</v>
      </c>
      <c r="J169" s="3">
        <v>6.15</v>
      </c>
      <c r="K169">
        <v>70992</v>
      </c>
      <c r="L169" s="22">
        <f>(Table6[[#This Row],[Unit sold Filled]]*Table6[[#This Row],[Unit Price Filled]])-(Table6[[#This Row],[Unit sold Filled]]*Table6[[#This Row],[Unit Cost]])</f>
        <v>68040</v>
      </c>
    </row>
    <row r="170" spans="1:12" x14ac:dyDescent="0.3">
      <c r="A170" s="15" t="s">
        <v>197</v>
      </c>
      <c r="B170" s="17" t="s">
        <v>11</v>
      </c>
      <c r="C170" s="15" t="s">
        <v>18</v>
      </c>
      <c r="D170" t="s">
        <v>27</v>
      </c>
      <c r="E170" s="15" t="s">
        <v>24</v>
      </c>
      <c r="F170" s="15" t="s">
        <v>28</v>
      </c>
      <c r="G170" s="18">
        <v>45095</v>
      </c>
      <c r="H170" s="24">
        <v>35</v>
      </c>
      <c r="I170" s="23">
        <v>59.01</v>
      </c>
      <c r="J170" s="17">
        <v>103.65</v>
      </c>
      <c r="K170">
        <v>2065.35</v>
      </c>
      <c r="L170" s="22">
        <f>(Table6[[#This Row],[Unit sold Filled]]*Table6[[#This Row],[Unit Price Filled]])-(Table6[[#This Row],[Unit sold Filled]]*Table6[[#This Row],[Unit Cost]])</f>
        <v>-1562.4</v>
      </c>
    </row>
    <row r="171" spans="1:12" x14ac:dyDescent="0.3">
      <c r="A171" s="1" t="s">
        <v>198</v>
      </c>
      <c r="B171" s="3" t="s">
        <v>48</v>
      </c>
      <c r="C171" s="1" t="s">
        <v>26</v>
      </c>
      <c r="D171" t="s">
        <v>42</v>
      </c>
      <c r="E171" s="1" t="s">
        <v>24</v>
      </c>
      <c r="F171" s="1" t="s">
        <v>15</v>
      </c>
      <c r="G171" s="2">
        <v>45096</v>
      </c>
      <c r="H171" s="24">
        <v>491</v>
      </c>
      <c r="I171" s="23">
        <v>327</v>
      </c>
      <c r="J171" s="3">
        <v>105.76</v>
      </c>
      <c r="K171">
        <v>160557</v>
      </c>
      <c r="L171" s="22">
        <f>(Table6[[#This Row],[Unit sold Filled]]*Table6[[#This Row],[Unit Price Filled]])-(Table6[[#This Row],[Unit sold Filled]]*Table6[[#This Row],[Unit Cost]])</f>
        <v>108628.84</v>
      </c>
    </row>
    <row r="172" spans="1:12" x14ac:dyDescent="0.3">
      <c r="A172" s="15" t="s">
        <v>199</v>
      </c>
      <c r="B172" s="17" t="s">
        <v>17</v>
      </c>
      <c r="C172" s="15" t="s">
        <v>26</v>
      </c>
      <c r="D172" t="s">
        <v>19</v>
      </c>
      <c r="E172" s="15" t="s">
        <v>24</v>
      </c>
      <c r="F172" s="15" t="s">
        <v>20</v>
      </c>
      <c r="G172" s="18">
        <v>45097</v>
      </c>
      <c r="H172" s="24">
        <v>439</v>
      </c>
      <c r="I172" s="23">
        <v>383.77</v>
      </c>
      <c r="J172" s="17">
        <v>29.56</v>
      </c>
      <c r="K172">
        <v>168475.03</v>
      </c>
      <c r="L172" s="22">
        <f>(Table6[[#This Row],[Unit sold Filled]]*Table6[[#This Row],[Unit Price Filled]])-(Table6[[#This Row],[Unit sold Filled]]*Table6[[#This Row],[Unit Cost]])</f>
        <v>155498.19</v>
      </c>
    </row>
    <row r="173" spans="1:12" x14ac:dyDescent="0.3">
      <c r="A173" s="1" t="s">
        <v>200</v>
      </c>
      <c r="B173" s="3" t="s">
        <v>22</v>
      </c>
      <c r="C173" s="1" t="s">
        <v>18</v>
      </c>
      <c r="D173" t="s">
        <v>19</v>
      </c>
      <c r="E173" s="1" t="s">
        <v>14</v>
      </c>
      <c r="F173" s="1" t="s">
        <v>20</v>
      </c>
      <c r="G173" s="2">
        <v>45098</v>
      </c>
      <c r="H173" s="24">
        <v>235</v>
      </c>
      <c r="I173" s="23">
        <v>463.21</v>
      </c>
      <c r="J173" s="3">
        <v>384.01</v>
      </c>
      <c r="K173">
        <v>108854.34999999999</v>
      </c>
      <c r="L173" s="22">
        <f>(Table6[[#This Row],[Unit sold Filled]]*Table6[[#This Row],[Unit Price Filled]])-(Table6[[#This Row],[Unit sold Filled]]*Table6[[#This Row],[Unit Cost]])</f>
        <v>18612</v>
      </c>
    </row>
    <row r="174" spans="1:12" x14ac:dyDescent="0.3">
      <c r="A174" s="15" t="s">
        <v>201</v>
      </c>
      <c r="B174" s="17" t="s">
        <v>11</v>
      </c>
      <c r="C174" s="15" t="s">
        <v>26</v>
      </c>
      <c r="D174" t="s">
        <v>13</v>
      </c>
      <c r="E174" s="15" t="s">
        <v>14</v>
      </c>
      <c r="F174" s="15" t="s">
        <v>28</v>
      </c>
      <c r="G174" s="18">
        <v>45099</v>
      </c>
      <c r="H174" s="24">
        <v>294</v>
      </c>
      <c r="I174" s="23">
        <v>221.9</v>
      </c>
      <c r="J174" s="17">
        <v>192.35</v>
      </c>
      <c r="K174">
        <v>65238.6</v>
      </c>
      <c r="L174" s="22">
        <f>(Table6[[#This Row],[Unit sold Filled]]*Table6[[#This Row],[Unit Price Filled]])-(Table6[[#This Row],[Unit sold Filled]]*Table6[[#This Row],[Unit Cost]])</f>
        <v>8687.6999999999971</v>
      </c>
    </row>
    <row r="175" spans="1:12" x14ac:dyDescent="0.3">
      <c r="A175" s="1" t="s">
        <v>202</v>
      </c>
      <c r="B175" s="3" t="s">
        <v>17</v>
      </c>
      <c r="C175" s="1" t="s">
        <v>18</v>
      </c>
      <c r="D175" t="s">
        <v>27</v>
      </c>
      <c r="E175" s="1" t="s">
        <v>14</v>
      </c>
      <c r="F175" s="1" t="s">
        <v>15</v>
      </c>
      <c r="G175" s="2">
        <v>45100</v>
      </c>
      <c r="H175" s="24">
        <v>13</v>
      </c>
      <c r="I175" s="23">
        <v>451.18</v>
      </c>
      <c r="J175" s="3">
        <v>358.53</v>
      </c>
      <c r="K175">
        <v>5865.34</v>
      </c>
      <c r="L175" s="22">
        <f>(Table6[[#This Row],[Unit sold Filled]]*Table6[[#This Row],[Unit Price Filled]])-(Table6[[#This Row],[Unit sold Filled]]*Table6[[#This Row],[Unit Cost]])</f>
        <v>1204.4500000000007</v>
      </c>
    </row>
    <row r="176" spans="1:12" x14ac:dyDescent="0.3">
      <c r="A176" s="15" t="s">
        <v>203</v>
      </c>
      <c r="B176" s="17" t="s">
        <v>17</v>
      </c>
      <c r="C176" s="15" t="s">
        <v>50</v>
      </c>
      <c r="D176" t="s">
        <v>13</v>
      </c>
      <c r="E176" s="15" t="s">
        <v>14</v>
      </c>
      <c r="F176" s="15" t="s">
        <v>15</v>
      </c>
      <c r="G176" s="18">
        <v>45101</v>
      </c>
      <c r="H176" s="24">
        <v>474</v>
      </c>
      <c r="I176" s="23">
        <v>439.56</v>
      </c>
      <c r="J176" s="17">
        <v>130.24</v>
      </c>
      <c r="K176">
        <v>208351.44</v>
      </c>
      <c r="L176" s="22">
        <f>(Table6[[#This Row],[Unit sold Filled]]*Table6[[#This Row],[Unit Price Filled]])-(Table6[[#This Row],[Unit sold Filled]]*Table6[[#This Row],[Unit Cost]])</f>
        <v>146617.68</v>
      </c>
    </row>
    <row r="177" spans="1:12" x14ac:dyDescent="0.3">
      <c r="A177" s="1" t="s">
        <v>204</v>
      </c>
      <c r="B177" s="3" t="s">
        <v>48</v>
      </c>
      <c r="C177" s="1" t="s">
        <v>50</v>
      </c>
      <c r="D177" t="s">
        <v>27</v>
      </c>
      <c r="E177" s="1" t="s">
        <v>24</v>
      </c>
      <c r="F177" s="1" t="s">
        <v>28</v>
      </c>
      <c r="G177" s="2">
        <v>45102</v>
      </c>
      <c r="H177" s="24">
        <v>108</v>
      </c>
      <c r="I177" s="23">
        <v>162.01</v>
      </c>
      <c r="J177" s="3">
        <v>51.84</v>
      </c>
      <c r="K177">
        <v>17497.079999999998</v>
      </c>
      <c r="L177" s="22">
        <f>(Table6[[#This Row],[Unit sold Filled]]*Table6[[#This Row],[Unit Price Filled]])-(Table6[[#This Row],[Unit sold Filled]]*Table6[[#This Row],[Unit Cost]])</f>
        <v>11898.359999999997</v>
      </c>
    </row>
    <row r="178" spans="1:12" x14ac:dyDescent="0.3">
      <c r="A178" s="15" t="s">
        <v>205</v>
      </c>
      <c r="B178" s="17" t="s">
        <v>11</v>
      </c>
      <c r="C178" s="15" t="s">
        <v>18</v>
      </c>
      <c r="D178" t="s">
        <v>13</v>
      </c>
      <c r="E178" s="15" t="s">
        <v>14</v>
      </c>
      <c r="F178" s="15" t="s">
        <v>20</v>
      </c>
      <c r="G178" s="18">
        <v>45103</v>
      </c>
      <c r="H178" s="24">
        <v>406</v>
      </c>
      <c r="I178" s="23">
        <v>435.11</v>
      </c>
      <c r="J178" s="17">
        <v>190.79</v>
      </c>
      <c r="K178">
        <v>176654.66</v>
      </c>
      <c r="L178" s="22">
        <f>(Table6[[#This Row],[Unit sold Filled]]*Table6[[#This Row],[Unit Price Filled]])-(Table6[[#This Row],[Unit sold Filled]]*Table6[[#This Row],[Unit Cost]])</f>
        <v>99193.920000000013</v>
      </c>
    </row>
    <row r="179" spans="1:12" x14ac:dyDescent="0.3">
      <c r="A179" s="1" t="s">
        <v>206</v>
      </c>
      <c r="B179" s="3" t="s">
        <v>11</v>
      </c>
      <c r="C179" s="1" t="s">
        <v>50</v>
      </c>
      <c r="D179" t="s">
        <v>23</v>
      </c>
      <c r="E179" s="1" t="s">
        <v>14</v>
      </c>
      <c r="F179" s="1" t="s">
        <v>28</v>
      </c>
      <c r="G179" s="2">
        <v>45104</v>
      </c>
      <c r="H179" s="24">
        <v>498</v>
      </c>
      <c r="I179" s="23">
        <v>190.96</v>
      </c>
      <c r="J179" s="3">
        <v>47.35</v>
      </c>
      <c r="K179">
        <v>95098.08</v>
      </c>
      <c r="L179" s="22">
        <f>(Table6[[#This Row],[Unit sold Filled]]*Table6[[#This Row],[Unit Price Filled]])-(Table6[[#This Row],[Unit sold Filled]]*Table6[[#This Row],[Unit Cost]])</f>
        <v>71517.78</v>
      </c>
    </row>
    <row r="180" spans="1:12" x14ac:dyDescent="0.3">
      <c r="A180" s="15" t="s">
        <v>207</v>
      </c>
      <c r="B180" s="17" t="s">
        <v>22</v>
      </c>
      <c r="C180" s="15" t="s">
        <v>50</v>
      </c>
      <c r="D180" t="s">
        <v>23</v>
      </c>
      <c r="E180" s="15" t="s">
        <v>24</v>
      </c>
      <c r="F180" s="15" t="s">
        <v>20</v>
      </c>
      <c r="G180" s="18">
        <v>45105</v>
      </c>
      <c r="H180" s="24">
        <v>48</v>
      </c>
      <c r="I180" s="23">
        <v>151.94999999999999</v>
      </c>
      <c r="J180" s="17">
        <v>195.43</v>
      </c>
      <c r="K180">
        <v>7293.5999999999995</v>
      </c>
      <c r="L180" s="22">
        <f>(Table6[[#This Row],[Unit sold Filled]]*Table6[[#This Row],[Unit Price Filled]])-(Table6[[#This Row],[Unit sold Filled]]*Table6[[#This Row],[Unit Cost]])</f>
        <v>-2087.04</v>
      </c>
    </row>
    <row r="181" spans="1:12" x14ac:dyDescent="0.3">
      <c r="A181" s="1" t="s">
        <v>208</v>
      </c>
      <c r="B181" s="3" t="s">
        <v>11</v>
      </c>
      <c r="C181" s="1" t="s">
        <v>50</v>
      </c>
      <c r="D181" t="s">
        <v>23</v>
      </c>
      <c r="E181" s="1" t="s">
        <v>14</v>
      </c>
      <c r="F181" s="1" t="s">
        <v>15</v>
      </c>
      <c r="G181" s="2">
        <v>45106</v>
      </c>
      <c r="H181" s="24">
        <v>280</v>
      </c>
      <c r="I181" s="23">
        <v>326.29000000000002</v>
      </c>
      <c r="J181" s="3">
        <v>368.28</v>
      </c>
      <c r="K181">
        <v>91361.200000000012</v>
      </c>
      <c r="L181" s="22">
        <f>(Table6[[#This Row],[Unit sold Filled]]*Table6[[#This Row],[Unit Price Filled]])-(Table6[[#This Row],[Unit sold Filled]]*Table6[[#This Row],[Unit Cost]])</f>
        <v>-11757.199999999983</v>
      </c>
    </row>
    <row r="182" spans="1:12" x14ac:dyDescent="0.3">
      <c r="A182" s="15" t="s">
        <v>209</v>
      </c>
      <c r="B182" s="17" t="s">
        <v>22</v>
      </c>
      <c r="C182" s="15" t="s">
        <v>31</v>
      </c>
      <c r="D182" t="s">
        <v>23</v>
      </c>
      <c r="E182" s="15" t="s">
        <v>14</v>
      </c>
      <c r="F182" s="15" t="s">
        <v>20</v>
      </c>
      <c r="G182" s="18">
        <v>45107</v>
      </c>
      <c r="H182" s="24">
        <v>384</v>
      </c>
      <c r="I182" s="23">
        <v>167.55</v>
      </c>
      <c r="J182" s="17">
        <v>209.27</v>
      </c>
      <c r="K182">
        <v>64339.200000000004</v>
      </c>
      <c r="L182" s="22">
        <f>(Table6[[#This Row],[Unit sold Filled]]*Table6[[#This Row],[Unit Price Filled]])-(Table6[[#This Row],[Unit sold Filled]]*Table6[[#This Row],[Unit Cost]])</f>
        <v>-16020.480000000003</v>
      </c>
    </row>
    <row r="183" spans="1:12" x14ac:dyDescent="0.3">
      <c r="A183" s="1" t="s">
        <v>210</v>
      </c>
      <c r="B183" s="3" t="s">
        <v>11</v>
      </c>
      <c r="C183" s="1" t="s">
        <v>12</v>
      </c>
      <c r="D183" t="s">
        <v>42</v>
      </c>
      <c r="E183" s="1" t="s">
        <v>14</v>
      </c>
      <c r="F183" s="1" t="s">
        <v>28</v>
      </c>
      <c r="G183" s="2">
        <v>45108</v>
      </c>
      <c r="H183" s="24">
        <v>294</v>
      </c>
      <c r="I183" s="23">
        <v>316.95</v>
      </c>
      <c r="J183" s="3">
        <v>247.37</v>
      </c>
      <c r="K183">
        <v>93183.3</v>
      </c>
      <c r="L183" s="22">
        <f>(Table6[[#This Row],[Unit sold Filled]]*Table6[[#This Row],[Unit Price Filled]])-(Table6[[#This Row],[Unit sold Filled]]*Table6[[#This Row],[Unit Cost]])</f>
        <v>20456.520000000004</v>
      </c>
    </row>
    <row r="184" spans="1:12" x14ac:dyDescent="0.3">
      <c r="A184" s="15" t="s">
        <v>211</v>
      </c>
      <c r="B184" s="17" t="s">
        <v>48</v>
      </c>
      <c r="C184" s="15" t="s">
        <v>26</v>
      </c>
      <c r="D184" t="s">
        <v>23</v>
      </c>
      <c r="E184" s="15" t="s">
        <v>14</v>
      </c>
      <c r="F184" s="15" t="s">
        <v>15</v>
      </c>
      <c r="G184" s="18">
        <v>45109</v>
      </c>
      <c r="H184" s="24">
        <v>166</v>
      </c>
      <c r="I184" s="23">
        <v>306.87</v>
      </c>
      <c r="J184" s="17">
        <v>64.34</v>
      </c>
      <c r="K184">
        <v>50940.42</v>
      </c>
      <c r="L184" s="22">
        <f>(Table6[[#This Row],[Unit sold Filled]]*Table6[[#This Row],[Unit Price Filled]])-(Table6[[#This Row],[Unit sold Filled]]*Table6[[#This Row],[Unit Cost]])</f>
        <v>40259.979999999996</v>
      </c>
    </row>
    <row r="185" spans="1:12" x14ac:dyDescent="0.3">
      <c r="A185" s="1" t="s">
        <v>212</v>
      </c>
      <c r="B185" s="3" t="s">
        <v>11</v>
      </c>
      <c r="C185" s="1" t="s">
        <v>31</v>
      </c>
      <c r="D185" t="s">
        <v>19</v>
      </c>
      <c r="E185" s="1" t="s">
        <v>14</v>
      </c>
      <c r="F185" s="1" t="s">
        <v>28</v>
      </c>
      <c r="G185" s="2">
        <v>45110</v>
      </c>
      <c r="H185" s="24">
        <v>84</v>
      </c>
      <c r="I185" s="23">
        <v>283.89999999999998</v>
      </c>
      <c r="J185" s="3">
        <v>19.41</v>
      </c>
      <c r="K185">
        <v>23847.599999999999</v>
      </c>
      <c r="L185" s="22">
        <f>(Table6[[#This Row],[Unit sold Filled]]*Table6[[#This Row],[Unit Price Filled]])-(Table6[[#This Row],[Unit sold Filled]]*Table6[[#This Row],[Unit Cost]])</f>
        <v>22217.16</v>
      </c>
    </row>
    <row r="186" spans="1:12" x14ac:dyDescent="0.3">
      <c r="A186" s="15" t="s">
        <v>213</v>
      </c>
      <c r="B186" s="17" t="s">
        <v>22</v>
      </c>
      <c r="C186" s="15" t="s">
        <v>50</v>
      </c>
      <c r="D186" t="s">
        <v>19</v>
      </c>
      <c r="E186" s="15" t="s">
        <v>14</v>
      </c>
      <c r="F186" s="15" t="s">
        <v>28</v>
      </c>
      <c r="G186" s="18">
        <v>45111</v>
      </c>
      <c r="H186" s="24">
        <v>381</v>
      </c>
      <c r="I186" s="23">
        <v>193.31</v>
      </c>
      <c r="J186" s="17">
        <v>46.1</v>
      </c>
      <c r="K186">
        <v>73651.11</v>
      </c>
      <c r="L186" s="22">
        <f>(Table6[[#This Row],[Unit sold Filled]]*Table6[[#This Row],[Unit Price Filled]])-(Table6[[#This Row],[Unit sold Filled]]*Table6[[#This Row],[Unit Cost]])</f>
        <v>56087.009999999995</v>
      </c>
    </row>
    <row r="187" spans="1:12" x14ac:dyDescent="0.3">
      <c r="A187" s="1" t="s">
        <v>214</v>
      </c>
      <c r="B187" s="3" t="s">
        <v>22</v>
      </c>
      <c r="C187" s="1" t="s">
        <v>18</v>
      </c>
      <c r="D187" t="s">
        <v>42</v>
      </c>
      <c r="E187" s="1" t="s">
        <v>24</v>
      </c>
      <c r="F187" s="1" t="s">
        <v>20</v>
      </c>
      <c r="G187" s="2">
        <v>45112</v>
      </c>
      <c r="H187" s="24">
        <v>297</v>
      </c>
      <c r="I187" s="23">
        <v>276.51</v>
      </c>
      <c r="J187" s="3">
        <v>240.22</v>
      </c>
      <c r="K187">
        <v>82123.47</v>
      </c>
      <c r="L187" s="22">
        <f>(Table6[[#This Row],[Unit sold Filled]]*Table6[[#This Row],[Unit Price Filled]])-(Table6[[#This Row],[Unit sold Filled]]*Table6[[#This Row],[Unit Cost]])</f>
        <v>10778.130000000005</v>
      </c>
    </row>
    <row r="188" spans="1:12" x14ac:dyDescent="0.3">
      <c r="A188" s="15" t="s">
        <v>215</v>
      </c>
      <c r="B188" s="17" t="s">
        <v>48</v>
      </c>
      <c r="C188" s="15" t="s">
        <v>50</v>
      </c>
      <c r="D188" t="s">
        <v>23</v>
      </c>
      <c r="E188" s="15" t="s">
        <v>24</v>
      </c>
      <c r="F188" s="15" t="s">
        <v>28</v>
      </c>
      <c r="G188" s="18">
        <v>45113</v>
      </c>
      <c r="H188" s="24">
        <v>139</v>
      </c>
      <c r="I188" s="23">
        <v>300.26</v>
      </c>
      <c r="J188" s="17">
        <v>39.81</v>
      </c>
      <c r="K188">
        <v>41736.14</v>
      </c>
      <c r="L188" s="22">
        <f>(Table6[[#This Row],[Unit sold Filled]]*Table6[[#This Row],[Unit Price Filled]])-(Table6[[#This Row],[Unit sold Filled]]*Table6[[#This Row],[Unit Cost]])</f>
        <v>36202.550000000003</v>
      </c>
    </row>
    <row r="189" spans="1:12" x14ac:dyDescent="0.3">
      <c r="A189" s="1" t="s">
        <v>216</v>
      </c>
      <c r="B189" s="3" t="s">
        <v>11</v>
      </c>
      <c r="C189" s="1" t="s">
        <v>12</v>
      </c>
      <c r="D189" t="s">
        <v>23</v>
      </c>
      <c r="E189" s="1" t="s">
        <v>14</v>
      </c>
      <c r="F189" s="1" t="s">
        <v>20</v>
      </c>
      <c r="G189" s="2">
        <v>45114</v>
      </c>
      <c r="H189" s="24">
        <v>184</v>
      </c>
      <c r="I189" s="23">
        <v>275.12</v>
      </c>
      <c r="J189" s="3">
        <v>151.65</v>
      </c>
      <c r="K189">
        <v>50622.080000000002</v>
      </c>
      <c r="L189" s="22">
        <f>(Table6[[#This Row],[Unit sold Filled]]*Table6[[#This Row],[Unit Price Filled]])-(Table6[[#This Row],[Unit sold Filled]]*Table6[[#This Row],[Unit Cost]])</f>
        <v>22718.48</v>
      </c>
    </row>
    <row r="190" spans="1:12" x14ac:dyDescent="0.3">
      <c r="A190" s="15" t="s">
        <v>217</v>
      </c>
      <c r="B190" s="17" t="s">
        <v>11</v>
      </c>
      <c r="C190" s="15" t="s">
        <v>50</v>
      </c>
      <c r="D190" t="s">
        <v>23</v>
      </c>
      <c r="E190" s="15" t="s">
        <v>14</v>
      </c>
      <c r="F190" s="15" t="s">
        <v>15</v>
      </c>
      <c r="G190" s="18">
        <v>45115</v>
      </c>
      <c r="H190" s="24">
        <v>471</v>
      </c>
      <c r="I190" s="23">
        <v>224.99</v>
      </c>
      <c r="J190" s="17">
        <v>220.94</v>
      </c>
      <c r="K190">
        <v>105970.29000000001</v>
      </c>
      <c r="L190" s="22">
        <f>(Table6[[#This Row],[Unit sold Filled]]*Table6[[#This Row],[Unit Price Filled]])-(Table6[[#This Row],[Unit sold Filled]]*Table6[[#This Row],[Unit Cost]])</f>
        <v>1907.5500000000029</v>
      </c>
    </row>
    <row r="191" spans="1:12" x14ac:dyDescent="0.3">
      <c r="A191" s="1" t="s">
        <v>218</v>
      </c>
      <c r="B191" s="3" t="s">
        <v>48</v>
      </c>
      <c r="C191" s="1" t="s">
        <v>18</v>
      </c>
      <c r="D191" t="s">
        <v>13</v>
      </c>
      <c r="E191" s="1" t="s">
        <v>24</v>
      </c>
      <c r="F191" s="1" t="s">
        <v>20</v>
      </c>
      <c r="G191" s="2">
        <v>45116</v>
      </c>
      <c r="H191" s="24">
        <v>93</v>
      </c>
      <c r="I191" s="23">
        <v>12.26</v>
      </c>
      <c r="J191" s="3">
        <v>156.68</v>
      </c>
      <c r="K191">
        <v>1140.18</v>
      </c>
      <c r="L191" s="22">
        <f>(Table6[[#This Row],[Unit sold Filled]]*Table6[[#This Row],[Unit Price Filled]])-(Table6[[#This Row],[Unit sold Filled]]*Table6[[#This Row],[Unit Cost]])</f>
        <v>-13431.06</v>
      </c>
    </row>
    <row r="192" spans="1:12" x14ac:dyDescent="0.3">
      <c r="A192" s="15" t="s">
        <v>219</v>
      </c>
      <c r="B192" s="17" t="s">
        <v>11</v>
      </c>
      <c r="C192" s="15" t="s">
        <v>12</v>
      </c>
      <c r="D192" t="s">
        <v>27</v>
      </c>
      <c r="E192" s="15" t="s">
        <v>14</v>
      </c>
      <c r="F192" s="15" t="s">
        <v>15</v>
      </c>
      <c r="G192" s="18">
        <v>45117</v>
      </c>
      <c r="H192" s="24">
        <v>31</v>
      </c>
      <c r="I192" s="23">
        <v>295.60000000000002</v>
      </c>
      <c r="J192" s="17">
        <v>67.150000000000006</v>
      </c>
      <c r="K192">
        <v>9163.6</v>
      </c>
      <c r="L192" s="22">
        <f>(Table6[[#This Row],[Unit sold Filled]]*Table6[[#This Row],[Unit Price Filled]])-(Table6[[#This Row],[Unit sold Filled]]*Table6[[#This Row],[Unit Cost]])</f>
        <v>7081.9500000000007</v>
      </c>
    </row>
    <row r="193" spans="1:12" x14ac:dyDescent="0.3">
      <c r="A193" s="1" t="s">
        <v>220</v>
      </c>
      <c r="B193" s="3" t="s">
        <v>11</v>
      </c>
      <c r="C193" s="1" t="s">
        <v>50</v>
      </c>
      <c r="D193" t="s">
        <v>13</v>
      </c>
      <c r="E193" s="1" t="s">
        <v>14</v>
      </c>
      <c r="F193" s="1" t="s">
        <v>20</v>
      </c>
      <c r="G193" s="2">
        <v>45118</v>
      </c>
      <c r="H193" s="24">
        <v>468</v>
      </c>
      <c r="I193" s="23">
        <v>88.38</v>
      </c>
      <c r="J193" s="3">
        <v>110.97</v>
      </c>
      <c r="K193">
        <v>41361.839999999997</v>
      </c>
      <c r="L193" s="22">
        <f>(Table6[[#This Row],[Unit sold Filled]]*Table6[[#This Row],[Unit Price Filled]])-(Table6[[#This Row],[Unit sold Filled]]*Table6[[#This Row],[Unit Cost]])</f>
        <v>-10572.120000000003</v>
      </c>
    </row>
    <row r="194" spans="1:12" x14ac:dyDescent="0.3">
      <c r="A194" s="15" t="s">
        <v>221</v>
      </c>
      <c r="B194" s="17" t="s">
        <v>22</v>
      </c>
      <c r="C194" s="15" t="s">
        <v>12</v>
      </c>
      <c r="D194" t="s">
        <v>27</v>
      </c>
      <c r="E194" s="15" t="s">
        <v>14</v>
      </c>
      <c r="F194" s="15" t="s">
        <v>28</v>
      </c>
      <c r="G194" s="18">
        <v>45119</v>
      </c>
      <c r="H194" s="24">
        <v>36</v>
      </c>
      <c r="I194" s="23">
        <v>323.08</v>
      </c>
      <c r="J194" s="17">
        <v>371.47</v>
      </c>
      <c r="K194">
        <v>11630.88</v>
      </c>
      <c r="L194" s="22">
        <f>(Table6[[#This Row],[Unit sold Filled]]*Table6[[#This Row],[Unit Price Filled]])-(Table6[[#This Row],[Unit sold Filled]]*Table6[[#This Row],[Unit Cost]])</f>
        <v>-1742.0400000000027</v>
      </c>
    </row>
    <row r="195" spans="1:12" x14ac:dyDescent="0.3">
      <c r="A195" s="1" t="s">
        <v>222</v>
      </c>
      <c r="B195" s="3" t="s">
        <v>11</v>
      </c>
      <c r="C195" s="1" t="s">
        <v>26</v>
      </c>
      <c r="D195" t="s">
        <v>23</v>
      </c>
      <c r="E195" s="1" t="s">
        <v>24</v>
      </c>
      <c r="F195" s="1" t="s">
        <v>20</v>
      </c>
      <c r="G195" s="2">
        <v>45120</v>
      </c>
      <c r="H195" s="24">
        <v>204</v>
      </c>
      <c r="I195" s="23">
        <v>380.88</v>
      </c>
      <c r="J195" s="3">
        <v>271.04000000000002</v>
      </c>
      <c r="K195">
        <v>77699.520000000004</v>
      </c>
      <c r="L195" s="22">
        <f>(Table6[[#This Row],[Unit sold Filled]]*Table6[[#This Row],[Unit Price Filled]])-(Table6[[#This Row],[Unit sold Filled]]*Table6[[#This Row],[Unit Cost]])</f>
        <v>22407.360000000001</v>
      </c>
    </row>
    <row r="196" spans="1:12" x14ac:dyDescent="0.3">
      <c r="A196" s="15" t="s">
        <v>223</v>
      </c>
      <c r="B196" s="17" t="s">
        <v>11</v>
      </c>
      <c r="C196" s="15" t="s">
        <v>26</v>
      </c>
      <c r="D196" t="s">
        <v>23</v>
      </c>
      <c r="E196" s="15" t="s">
        <v>14</v>
      </c>
      <c r="F196" s="15" t="s">
        <v>20</v>
      </c>
      <c r="G196" s="18">
        <v>45121</v>
      </c>
      <c r="H196" s="24">
        <v>346</v>
      </c>
      <c r="I196" s="23">
        <v>252.72</v>
      </c>
      <c r="J196" s="17">
        <v>199.43</v>
      </c>
      <c r="K196">
        <v>87441.12</v>
      </c>
      <c r="L196" s="22">
        <f>(Table6[[#This Row],[Unit sold Filled]]*Table6[[#This Row],[Unit Price Filled]])-(Table6[[#This Row],[Unit sold Filled]]*Table6[[#This Row],[Unit Cost]])</f>
        <v>18438.339999999997</v>
      </c>
    </row>
    <row r="197" spans="1:12" x14ac:dyDescent="0.3">
      <c r="A197" s="1" t="s">
        <v>224</v>
      </c>
      <c r="B197" s="3" t="s">
        <v>48</v>
      </c>
      <c r="C197" s="1" t="s">
        <v>50</v>
      </c>
      <c r="D197" t="s">
        <v>13</v>
      </c>
      <c r="E197" s="1" t="s">
        <v>24</v>
      </c>
      <c r="F197" s="1" t="s">
        <v>15</v>
      </c>
      <c r="G197" s="2">
        <v>45122</v>
      </c>
      <c r="H197" s="24">
        <v>391</v>
      </c>
      <c r="I197" s="23">
        <v>273.47000000000003</v>
      </c>
      <c r="J197" s="3">
        <v>7.06</v>
      </c>
      <c r="K197">
        <v>106926.77</v>
      </c>
      <c r="L197" s="22">
        <f>(Table6[[#This Row],[Unit sold Filled]]*Table6[[#This Row],[Unit Price Filled]])-(Table6[[#This Row],[Unit sold Filled]]*Table6[[#This Row],[Unit Cost]])</f>
        <v>104166.31</v>
      </c>
    </row>
    <row r="198" spans="1:12" x14ac:dyDescent="0.3">
      <c r="A198" s="15" t="s">
        <v>225</v>
      </c>
      <c r="B198" s="17" t="s">
        <v>48</v>
      </c>
      <c r="C198" s="15" t="s">
        <v>12</v>
      </c>
      <c r="D198" t="s">
        <v>13</v>
      </c>
      <c r="E198" s="15" t="s">
        <v>14</v>
      </c>
      <c r="F198" s="15" t="s">
        <v>28</v>
      </c>
      <c r="G198" s="18">
        <v>45123</v>
      </c>
      <c r="H198" s="24">
        <v>245</v>
      </c>
      <c r="I198" s="23">
        <v>475.98</v>
      </c>
      <c r="J198" s="17">
        <v>396.98</v>
      </c>
      <c r="K198">
        <v>116615.1</v>
      </c>
      <c r="L198" s="22">
        <f>(Table6[[#This Row],[Unit sold Filled]]*Table6[[#This Row],[Unit Price Filled]])-(Table6[[#This Row],[Unit sold Filled]]*Table6[[#This Row],[Unit Cost]])</f>
        <v>19355</v>
      </c>
    </row>
    <row r="199" spans="1:12" x14ac:dyDescent="0.3">
      <c r="A199" s="1" t="s">
        <v>226</v>
      </c>
      <c r="B199" s="3" t="s">
        <v>17</v>
      </c>
      <c r="C199" s="1" t="s">
        <v>18</v>
      </c>
      <c r="D199" t="s">
        <v>27</v>
      </c>
      <c r="E199" s="1" t="s">
        <v>24</v>
      </c>
      <c r="F199" s="1" t="s">
        <v>20</v>
      </c>
      <c r="G199" s="2">
        <v>45124</v>
      </c>
      <c r="H199" s="24">
        <v>449</v>
      </c>
      <c r="I199" s="23">
        <v>424.35</v>
      </c>
      <c r="J199" s="3">
        <v>269.24</v>
      </c>
      <c r="K199">
        <v>190533.15000000002</v>
      </c>
      <c r="L199" s="22">
        <f>(Table6[[#This Row],[Unit sold Filled]]*Table6[[#This Row],[Unit Price Filled]])-(Table6[[#This Row],[Unit sold Filled]]*Table6[[#This Row],[Unit Cost]])</f>
        <v>69644.390000000014</v>
      </c>
    </row>
    <row r="200" spans="1:12" x14ac:dyDescent="0.3">
      <c r="A200" s="15" t="s">
        <v>227</v>
      </c>
      <c r="B200" s="17" t="s">
        <v>22</v>
      </c>
      <c r="C200" s="15" t="s">
        <v>50</v>
      </c>
      <c r="D200" t="s">
        <v>19</v>
      </c>
      <c r="E200" s="15" t="s">
        <v>24</v>
      </c>
      <c r="F200" s="15" t="s">
        <v>28</v>
      </c>
      <c r="G200" s="18">
        <v>45125</v>
      </c>
      <c r="H200" s="24">
        <v>101</v>
      </c>
      <c r="I200" s="23">
        <v>457.55</v>
      </c>
      <c r="J200" s="17">
        <v>128.13999999999999</v>
      </c>
      <c r="K200">
        <v>46212.55</v>
      </c>
      <c r="L200" s="22">
        <f>(Table6[[#This Row],[Unit sold Filled]]*Table6[[#This Row],[Unit Price Filled]])-(Table6[[#This Row],[Unit sold Filled]]*Table6[[#This Row],[Unit Cost]])</f>
        <v>33270.410000000003</v>
      </c>
    </row>
    <row r="201" spans="1:12" x14ac:dyDescent="0.3">
      <c r="A201" s="1" t="s">
        <v>228</v>
      </c>
      <c r="B201" s="3" t="s">
        <v>11</v>
      </c>
      <c r="C201" s="1" t="s">
        <v>26</v>
      </c>
      <c r="D201" t="s">
        <v>27</v>
      </c>
      <c r="E201" s="1" t="s">
        <v>14</v>
      </c>
      <c r="F201" s="1" t="s">
        <v>20</v>
      </c>
      <c r="G201" s="2">
        <v>45126</v>
      </c>
      <c r="H201" s="24">
        <v>255.90294117647059</v>
      </c>
      <c r="I201" s="23">
        <v>407.81</v>
      </c>
      <c r="J201" s="3">
        <v>351.95</v>
      </c>
      <c r="K201">
        <v>104359.77844117647</v>
      </c>
      <c r="L201" s="22">
        <f>(Table6[[#This Row],[Unit sold Filled]]*Table6[[#This Row],[Unit Price Filled]])-(Table6[[#This Row],[Unit sold Filled]]*Table6[[#This Row],[Unit Cost]])</f>
        <v>14294.738294117647</v>
      </c>
    </row>
    <row r="202" spans="1:12" x14ac:dyDescent="0.3">
      <c r="A202" s="15" t="s">
        <v>229</v>
      </c>
      <c r="B202" s="17" t="s">
        <v>11</v>
      </c>
      <c r="C202" s="15" t="s">
        <v>26</v>
      </c>
      <c r="D202" t="s">
        <v>13</v>
      </c>
      <c r="E202" s="15" t="s">
        <v>24</v>
      </c>
      <c r="F202" s="15" t="s">
        <v>20</v>
      </c>
      <c r="G202" s="18">
        <v>45127</v>
      </c>
      <c r="H202" s="24">
        <v>30</v>
      </c>
      <c r="I202" s="23">
        <v>58.91</v>
      </c>
      <c r="J202" s="17">
        <v>104.86</v>
      </c>
      <c r="K202">
        <v>1767.3</v>
      </c>
      <c r="L202" s="22">
        <f>(Table6[[#This Row],[Unit sold Filled]]*Table6[[#This Row],[Unit Price Filled]])-(Table6[[#This Row],[Unit sold Filled]]*Table6[[#This Row],[Unit Cost]])</f>
        <v>-1378.5000000000002</v>
      </c>
    </row>
    <row r="203" spans="1:12" x14ac:dyDescent="0.3">
      <c r="A203" s="1" t="s">
        <v>230</v>
      </c>
      <c r="B203" s="3" t="s">
        <v>17</v>
      </c>
      <c r="C203" s="1" t="s">
        <v>50</v>
      </c>
      <c r="D203" t="s">
        <v>13</v>
      </c>
      <c r="E203" s="1" t="s">
        <v>14</v>
      </c>
      <c r="F203" s="1" t="s">
        <v>28</v>
      </c>
      <c r="G203" s="2">
        <v>45128</v>
      </c>
      <c r="H203" s="24">
        <v>312</v>
      </c>
      <c r="I203" s="23">
        <v>78.75</v>
      </c>
      <c r="J203" s="3">
        <v>218.52</v>
      </c>
      <c r="K203">
        <v>24570</v>
      </c>
      <c r="L203" s="22">
        <f>(Table6[[#This Row],[Unit sold Filled]]*Table6[[#This Row],[Unit Price Filled]])-(Table6[[#This Row],[Unit sold Filled]]*Table6[[#This Row],[Unit Cost]])</f>
        <v>-43608.240000000005</v>
      </c>
    </row>
    <row r="204" spans="1:12" x14ac:dyDescent="0.3">
      <c r="A204" s="15" t="s">
        <v>231</v>
      </c>
      <c r="B204" s="17" t="s">
        <v>11</v>
      </c>
      <c r="C204" s="15" t="s">
        <v>12</v>
      </c>
      <c r="D204" t="s">
        <v>42</v>
      </c>
      <c r="E204" s="15" t="s">
        <v>24</v>
      </c>
      <c r="F204" s="15" t="s">
        <v>20</v>
      </c>
      <c r="G204" s="18">
        <v>45129</v>
      </c>
      <c r="H204" s="24">
        <v>473</v>
      </c>
      <c r="I204" s="23">
        <v>265.68</v>
      </c>
      <c r="J204" s="17">
        <v>255.16</v>
      </c>
      <c r="K204">
        <v>125666.64</v>
      </c>
      <c r="L204" s="22">
        <f>(Table6[[#This Row],[Unit sold Filled]]*Table6[[#This Row],[Unit Price Filled]])-(Table6[[#This Row],[Unit sold Filled]]*Table6[[#This Row],[Unit Cost]])</f>
        <v>4975.9600000000064</v>
      </c>
    </row>
    <row r="205" spans="1:12" x14ac:dyDescent="0.3">
      <c r="A205" s="1" t="s">
        <v>232</v>
      </c>
      <c r="B205" s="3" t="s">
        <v>22</v>
      </c>
      <c r="C205" s="1" t="s">
        <v>26</v>
      </c>
      <c r="D205" t="s">
        <v>13</v>
      </c>
      <c r="E205" s="1" t="s">
        <v>14</v>
      </c>
      <c r="F205" s="1" t="s">
        <v>28</v>
      </c>
      <c r="G205" s="2">
        <v>45130</v>
      </c>
      <c r="H205" s="24">
        <v>366</v>
      </c>
      <c r="I205" s="23">
        <v>126.8</v>
      </c>
      <c r="J205" s="3">
        <v>89.98</v>
      </c>
      <c r="K205">
        <v>46408.799999999996</v>
      </c>
      <c r="L205" s="22">
        <f>(Table6[[#This Row],[Unit sold Filled]]*Table6[[#This Row],[Unit Price Filled]])-(Table6[[#This Row],[Unit sold Filled]]*Table6[[#This Row],[Unit Cost]])</f>
        <v>13476.119999999995</v>
      </c>
    </row>
    <row r="206" spans="1:12" x14ac:dyDescent="0.3">
      <c r="A206" s="15" t="s">
        <v>233</v>
      </c>
      <c r="B206" s="17" t="s">
        <v>17</v>
      </c>
      <c r="C206" s="15" t="s">
        <v>12</v>
      </c>
      <c r="D206" t="s">
        <v>42</v>
      </c>
      <c r="E206" s="15" t="s">
        <v>14</v>
      </c>
      <c r="F206" s="15" t="s">
        <v>20</v>
      </c>
      <c r="G206" s="18">
        <v>45131</v>
      </c>
      <c r="H206" s="24">
        <v>452</v>
      </c>
      <c r="I206" s="23">
        <v>240.96</v>
      </c>
      <c r="J206" s="17">
        <v>391.4</v>
      </c>
      <c r="K206">
        <v>108913.92</v>
      </c>
      <c r="L206" s="22">
        <f>(Table6[[#This Row],[Unit sold Filled]]*Table6[[#This Row],[Unit Price Filled]])-(Table6[[#This Row],[Unit sold Filled]]*Table6[[#This Row],[Unit Cost]])</f>
        <v>-67998.87999999999</v>
      </c>
    </row>
    <row r="207" spans="1:12" x14ac:dyDescent="0.3">
      <c r="A207" s="1" t="s">
        <v>234</v>
      </c>
      <c r="B207" s="3" t="s">
        <v>22</v>
      </c>
      <c r="C207" s="1" t="s">
        <v>26</v>
      </c>
      <c r="D207" t="s">
        <v>19</v>
      </c>
      <c r="E207" s="1" t="s">
        <v>24</v>
      </c>
      <c r="F207" s="1" t="s">
        <v>15</v>
      </c>
      <c r="G207" s="2">
        <v>45132</v>
      </c>
      <c r="H207" s="24">
        <v>93</v>
      </c>
      <c r="I207" s="23">
        <v>200.21</v>
      </c>
      <c r="J207" s="3">
        <v>299.77999999999997</v>
      </c>
      <c r="K207">
        <v>18619.530000000002</v>
      </c>
      <c r="L207" s="22">
        <f>(Table6[[#This Row],[Unit sold Filled]]*Table6[[#This Row],[Unit Price Filled]])-(Table6[[#This Row],[Unit sold Filled]]*Table6[[#This Row],[Unit Cost]])</f>
        <v>-9260.0099999999948</v>
      </c>
    </row>
    <row r="208" spans="1:12" x14ac:dyDescent="0.3">
      <c r="A208" s="15" t="s">
        <v>235</v>
      </c>
      <c r="B208" s="17" t="s">
        <v>17</v>
      </c>
      <c r="C208" s="15" t="s">
        <v>26</v>
      </c>
      <c r="D208" t="s">
        <v>27</v>
      </c>
      <c r="E208" s="15" t="s">
        <v>14</v>
      </c>
      <c r="F208" s="15" t="s">
        <v>28</v>
      </c>
      <c r="G208" s="18">
        <v>45133</v>
      </c>
      <c r="H208" s="24">
        <v>271</v>
      </c>
      <c r="I208" s="23">
        <v>276.95999999999998</v>
      </c>
      <c r="J208" s="17">
        <v>224.01</v>
      </c>
      <c r="K208">
        <v>75056.159999999989</v>
      </c>
      <c r="L208" s="22">
        <f>(Table6[[#This Row],[Unit sold Filled]]*Table6[[#This Row],[Unit Price Filled]])-(Table6[[#This Row],[Unit sold Filled]]*Table6[[#This Row],[Unit Cost]])</f>
        <v>14349.44999999999</v>
      </c>
    </row>
    <row r="209" spans="1:12" x14ac:dyDescent="0.3">
      <c r="A209" s="1" t="s">
        <v>236</v>
      </c>
      <c r="B209" s="3" t="s">
        <v>17</v>
      </c>
      <c r="C209" s="1" t="s">
        <v>31</v>
      </c>
      <c r="D209" t="s">
        <v>27</v>
      </c>
      <c r="E209" s="1" t="s">
        <v>14</v>
      </c>
      <c r="F209" s="1" t="s">
        <v>20</v>
      </c>
      <c r="G209" s="2">
        <v>45134</v>
      </c>
      <c r="H209" s="24">
        <v>156</v>
      </c>
      <c r="I209" s="23">
        <v>374.7</v>
      </c>
      <c r="J209" s="3">
        <v>73.88</v>
      </c>
      <c r="K209">
        <v>58453.2</v>
      </c>
      <c r="L209" s="22">
        <f>(Table6[[#This Row],[Unit sold Filled]]*Table6[[#This Row],[Unit Price Filled]])-(Table6[[#This Row],[Unit sold Filled]]*Table6[[#This Row],[Unit Cost]])</f>
        <v>46927.92</v>
      </c>
    </row>
    <row r="210" spans="1:12" x14ac:dyDescent="0.3">
      <c r="A210" s="15" t="s">
        <v>237</v>
      </c>
      <c r="B210" s="17" t="s">
        <v>48</v>
      </c>
      <c r="C210" s="15" t="s">
        <v>26</v>
      </c>
      <c r="D210" t="s">
        <v>42</v>
      </c>
      <c r="E210" s="15" t="s">
        <v>24</v>
      </c>
      <c r="F210" s="15" t="s">
        <v>20</v>
      </c>
      <c r="G210" s="18">
        <v>45135</v>
      </c>
      <c r="H210" s="24">
        <v>450</v>
      </c>
      <c r="I210" s="23">
        <v>359.17</v>
      </c>
      <c r="J210" s="17">
        <v>23.44</v>
      </c>
      <c r="K210">
        <v>161626.5</v>
      </c>
      <c r="L210" s="22">
        <f>(Table6[[#This Row],[Unit sold Filled]]*Table6[[#This Row],[Unit Price Filled]])-(Table6[[#This Row],[Unit sold Filled]]*Table6[[#This Row],[Unit Cost]])</f>
        <v>151078.5</v>
      </c>
    </row>
    <row r="211" spans="1:12" x14ac:dyDescent="0.3">
      <c r="A211" s="1" t="s">
        <v>238</v>
      </c>
      <c r="B211" s="3" t="s">
        <v>22</v>
      </c>
      <c r="C211" s="1" t="s">
        <v>18</v>
      </c>
      <c r="D211" t="s">
        <v>27</v>
      </c>
      <c r="E211" s="1" t="s">
        <v>14</v>
      </c>
      <c r="F211" s="1" t="s">
        <v>15</v>
      </c>
      <c r="G211" s="2">
        <v>45136</v>
      </c>
      <c r="H211" s="24">
        <v>462</v>
      </c>
      <c r="I211" s="23">
        <v>263.01</v>
      </c>
      <c r="J211" s="3">
        <v>129.38</v>
      </c>
      <c r="K211">
        <v>121510.62</v>
      </c>
      <c r="L211" s="22">
        <f>(Table6[[#This Row],[Unit sold Filled]]*Table6[[#This Row],[Unit Price Filled]])-(Table6[[#This Row],[Unit sold Filled]]*Table6[[#This Row],[Unit Cost]])</f>
        <v>61737.06</v>
      </c>
    </row>
    <row r="212" spans="1:12" x14ac:dyDescent="0.3">
      <c r="A212" s="15" t="s">
        <v>239</v>
      </c>
      <c r="B212" s="17" t="s">
        <v>11</v>
      </c>
      <c r="C212" s="15" t="s">
        <v>50</v>
      </c>
      <c r="D212" t="s">
        <v>389</v>
      </c>
      <c r="E212" s="15" t="s">
        <v>14</v>
      </c>
      <c r="F212" s="15" t="s">
        <v>28</v>
      </c>
      <c r="G212" s="18">
        <v>45137</v>
      </c>
      <c r="H212" s="24">
        <v>396</v>
      </c>
      <c r="I212" s="23">
        <v>412.08</v>
      </c>
      <c r="J212" s="17">
        <v>301.77</v>
      </c>
      <c r="K212">
        <v>163183.67999999999</v>
      </c>
      <c r="L212" s="22">
        <f>(Table6[[#This Row],[Unit sold Filled]]*Table6[[#This Row],[Unit Price Filled]])-(Table6[[#This Row],[Unit sold Filled]]*Table6[[#This Row],[Unit Cost]])</f>
        <v>43682.759999999995</v>
      </c>
    </row>
    <row r="213" spans="1:12" x14ac:dyDescent="0.3">
      <c r="A213" s="1" t="s">
        <v>240</v>
      </c>
      <c r="B213" s="3" t="s">
        <v>11</v>
      </c>
      <c r="C213" s="1" t="s">
        <v>50</v>
      </c>
      <c r="D213" t="s">
        <v>23</v>
      </c>
      <c r="E213" s="1" t="s">
        <v>24</v>
      </c>
      <c r="F213" s="1" t="s">
        <v>20</v>
      </c>
      <c r="G213" s="2">
        <v>45138</v>
      </c>
      <c r="H213" s="24">
        <v>266</v>
      </c>
      <c r="I213" s="23">
        <v>218.28</v>
      </c>
      <c r="J213" s="3">
        <v>109.19</v>
      </c>
      <c r="K213">
        <v>58062.48</v>
      </c>
      <c r="L213" s="22">
        <f>(Table6[[#This Row],[Unit sold Filled]]*Table6[[#This Row],[Unit Price Filled]])-(Table6[[#This Row],[Unit sold Filled]]*Table6[[#This Row],[Unit Cost]])</f>
        <v>29017.940000000002</v>
      </c>
    </row>
    <row r="214" spans="1:12" x14ac:dyDescent="0.3">
      <c r="A214" s="15" t="s">
        <v>241</v>
      </c>
      <c r="B214" s="17" t="s">
        <v>22</v>
      </c>
      <c r="C214" s="15" t="s">
        <v>12</v>
      </c>
      <c r="D214" t="s">
        <v>42</v>
      </c>
      <c r="E214" s="15" t="s">
        <v>24</v>
      </c>
      <c r="F214" s="15" t="s">
        <v>15</v>
      </c>
      <c r="G214" s="18">
        <v>45139</v>
      </c>
      <c r="H214" s="24">
        <v>67</v>
      </c>
      <c r="I214" s="23">
        <v>448.87</v>
      </c>
      <c r="J214" s="17">
        <v>216.74</v>
      </c>
      <c r="K214">
        <v>30074.29</v>
      </c>
      <c r="L214" s="22">
        <f>(Table6[[#This Row],[Unit sold Filled]]*Table6[[#This Row],[Unit Price Filled]])-(Table6[[#This Row],[Unit sold Filled]]*Table6[[#This Row],[Unit Cost]])</f>
        <v>15552.710000000001</v>
      </c>
    </row>
    <row r="215" spans="1:12" x14ac:dyDescent="0.3">
      <c r="A215" s="1" t="s">
        <v>242</v>
      </c>
      <c r="B215" s="3" t="s">
        <v>11</v>
      </c>
      <c r="C215" s="1" t="s">
        <v>26</v>
      </c>
      <c r="D215" t="s">
        <v>27</v>
      </c>
      <c r="E215" s="1" t="s">
        <v>14</v>
      </c>
      <c r="F215" s="1" t="s">
        <v>20</v>
      </c>
      <c r="G215" s="2">
        <v>45140</v>
      </c>
      <c r="H215" s="24">
        <v>389</v>
      </c>
      <c r="I215" s="23">
        <v>40.28</v>
      </c>
      <c r="J215" s="3">
        <v>291.72000000000003</v>
      </c>
      <c r="K215">
        <v>15668.92</v>
      </c>
      <c r="L215" s="22">
        <f>(Table6[[#This Row],[Unit sold Filled]]*Table6[[#This Row],[Unit Price Filled]])-(Table6[[#This Row],[Unit sold Filled]]*Table6[[#This Row],[Unit Cost]])</f>
        <v>-97810.160000000018</v>
      </c>
    </row>
    <row r="216" spans="1:12" x14ac:dyDescent="0.3">
      <c r="A216" s="15" t="s">
        <v>243</v>
      </c>
      <c r="B216" s="17" t="s">
        <v>11</v>
      </c>
      <c r="C216" s="15" t="s">
        <v>18</v>
      </c>
      <c r="D216" t="s">
        <v>42</v>
      </c>
      <c r="E216" s="15" t="s">
        <v>14</v>
      </c>
      <c r="F216" s="15" t="s">
        <v>28</v>
      </c>
      <c r="G216" s="18">
        <v>45141</v>
      </c>
      <c r="H216" s="24">
        <v>431</v>
      </c>
      <c r="I216" s="23">
        <v>477.56</v>
      </c>
      <c r="J216" s="17">
        <v>44.96</v>
      </c>
      <c r="K216">
        <v>205828.36000000002</v>
      </c>
      <c r="L216" s="22">
        <f>(Table6[[#This Row],[Unit sold Filled]]*Table6[[#This Row],[Unit Price Filled]])-(Table6[[#This Row],[Unit sold Filled]]*Table6[[#This Row],[Unit Cost]])</f>
        <v>186450.6</v>
      </c>
    </row>
    <row r="217" spans="1:12" x14ac:dyDescent="0.3">
      <c r="A217" s="1" t="s">
        <v>244</v>
      </c>
      <c r="B217" s="3" t="s">
        <v>22</v>
      </c>
      <c r="C217" s="1" t="s">
        <v>12</v>
      </c>
      <c r="D217" t="s">
        <v>42</v>
      </c>
      <c r="E217" s="1" t="s">
        <v>24</v>
      </c>
      <c r="F217" s="1" t="s">
        <v>20</v>
      </c>
      <c r="G217" s="2">
        <v>45142</v>
      </c>
      <c r="H217" s="24">
        <v>24</v>
      </c>
      <c r="I217" s="23">
        <v>329.07</v>
      </c>
      <c r="J217" s="3">
        <v>274.75</v>
      </c>
      <c r="K217">
        <v>7897.68</v>
      </c>
      <c r="L217" s="22">
        <f>(Table6[[#This Row],[Unit sold Filled]]*Table6[[#This Row],[Unit Price Filled]])-(Table6[[#This Row],[Unit sold Filled]]*Table6[[#This Row],[Unit Cost]])</f>
        <v>1303.6800000000003</v>
      </c>
    </row>
    <row r="218" spans="1:12" x14ac:dyDescent="0.3">
      <c r="A218" s="15" t="s">
        <v>245</v>
      </c>
      <c r="B218" s="17" t="s">
        <v>17</v>
      </c>
      <c r="C218" s="15" t="s">
        <v>31</v>
      </c>
      <c r="D218" t="s">
        <v>23</v>
      </c>
      <c r="E218" s="15" t="s">
        <v>24</v>
      </c>
      <c r="F218" s="15" t="s">
        <v>20</v>
      </c>
      <c r="G218" s="18">
        <v>45143</v>
      </c>
      <c r="H218" s="24">
        <v>171</v>
      </c>
      <c r="I218" s="23">
        <v>193.14</v>
      </c>
      <c r="J218" s="17">
        <v>38.56</v>
      </c>
      <c r="K218">
        <v>33026.939999999995</v>
      </c>
      <c r="L218" s="22">
        <f>(Table6[[#This Row],[Unit sold Filled]]*Table6[[#This Row],[Unit Price Filled]])-(Table6[[#This Row],[Unit sold Filled]]*Table6[[#This Row],[Unit Cost]])</f>
        <v>26433.179999999993</v>
      </c>
    </row>
    <row r="219" spans="1:12" x14ac:dyDescent="0.3">
      <c r="A219" s="1" t="s">
        <v>246</v>
      </c>
      <c r="B219" s="3" t="s">
        <v>22</v>
      </c>
      <c r="C219" s="1" t="s">
        <v>12</v>
      </c>
      <c r="D219" t="s">
        <v>13</v>
      </c>
      <c r="E219" s="1" t="s">
        <v>14</v>
      </c>
      <c r="F219" s="1" t="s">
        <v>20</v>
      </c>
      <c r="G219" s="2">
        <v>45144</v>
      </c>
      <c r="H219" s="24">
        <v>454</v>
      </c>
      <c r="I219" s="23">
        <v>102.59</v>
      </c>
      <c r="J219" s="3">
        <v>386.12</v>
      </c>
      <c r="K219">
        <v>46575.86</v>
      </c>
      <c r="L219" s="22">
        <f>(Table6[[#This Row],[Unit sold Filled]]*Table6[[#This Row],[Unit Price Filled]])-(Table6[[#This Row],[Unit sold Filled]]*Table6[[#This Row],[Unit Cost]])</f>
        <v>-128722.62000000001</v>
      </c>
    </row>
    <row r="220" spans="1:12" x14ac:dyDescent="0.3">
      <c r="A220" s="15" t="s">
        <v>247</v>
      </c>
      <c r="B220" s="17" t="s">
        <v>17</v>
      </c>
      <c r="C220" s="15" t="s">
        <v>12</v>
      </c>
      <c r="D220" t="s">
        <v>42</v>
      </c>
      <c r="E220" s="15" t="s">
        <v>24</v>
      </c>
      <c r="F220" s="15" t="s">
        <v>20</v>
      </c>
      <c r="G220" s="18">
        <v>45145</v>
      </c>
      <c r="H220" s="24">
        <v>172</v>
      </c>
      <c r="I220" s="23">
        <v>242.2</v>
      </c>
      <c r="J220" s="17">
        <v>196.38</v>
      </c>
      <c r="K220">
        <v>41658.400000000001</v>
      </c>
      <c r="L220" s="22">
        <f>(Table6[[#This Row],[Unit sold Filled]]*Table6[[#This Row],[Unit Price Filled]])-(Table6[[#This Row],[Unit sold Filled]]*Table6[[#This Row],[Unit Cost]])</f>
        <v>7881.0400000000009</v>
      </c>
    </row>
    <row r="221" spans="1:12" x14ac:dyDescent="0.3">
      <c r="A221" s="1" t="s">
        <v>248</v>
      </c>
      <c r="B221" s="3" t="s">
        <v>11</v>
      </c>
      <c r="C221" s="1" t="s">
        <v>26</v>
      </c>
      <c r="D221" t="s">
        <v>27</v>
      </c>
      <c r="E221" s="1" t="s">
        <v>14</v>
      </c>
      <c r="F221" s="1" t="s">
        <v>15</v>
      </c>
      <c r="G221" s="2">
        <v>45146</v>
      </c>
      <c r="H221" s="24">
        <v>329</v>
      </c>
      <c r="I221" s="23">
        <v>101.31</v>
      </c>
      <c r="J221" s="3">
        <v>61.97</v>
      </c>
      <c r="K221">
        <v>33330.99</v>
      </c>
      <c r="L221" s="22">
        <f>(Table6[[#This Row],[Unit sold Filled]]*Table6[[#This Row],[Unit Price Filled]])-(Table6[[#This Row],[Unit sold Filled]]*Table6[[#This Row],[Unit Cost]])</f>
        <v>12942.859999999997</v>
      </c>
    </row>
    <row r="222" spans="1:12" x14ac:dyDescent="0.3">
      <c r="A222" s="15" t="s">
        <v>249</v>
      </c>
      <c r="B222" s="17" t="s">
        <v>11</v>
      </c>
      <c r="C222" s="15" t="s">
        <v>31</v>
      </c>
      <c r="D222" t="s">
        <v>19</v>
      </c>
      <c r="E222" s="15" t="s">
        <v>14</v>
      </c>
      <c r="F222" s="15" t="s">
        <v>15</v>
      </c>
      <c r="G222" s="18">
        <v>45147</v>
      </c>
      <c r="H222" s="24">
        <v>290</v>
      </c>
      <c r="I222" s="23">
        <v>87.33</v>
      </c>
      <c r="J222" s="17">
        <v>138.27000000000001</v>
      </c>
      <c r="K222">
        <v>25325.7</v>
      </c>
      <c r="L222" s="22">
        <f>(Table6[[#This Row],[Unit sold Filled]]*Table6[[#This Row],[Unit Price Filled]])-(Table6[[#This Row],[Unit sold Filled]]*Table6[[#This Row],[Unit Cost]])</f>
        <v>-14772.600000000002</v>
      </c>
    </row>
    <row r="223" spans="1:12" x14ac:dyDescent="0.3">
      <c r="A223" s="1" t="s">
        <v>250</v>
      </c>
      <c r="B223" s="3" t="s">
        <v>17</v>
      </c>
      <c r="C223" s="1" t="s">
        <v>12</v>
      </c>
      <c r="D223" t="s">
        <v>42</v>
      </c>
      <c r="E223" s="1" t="s">
        <v>14</v>
      </c>
      <c r="F223" s="1" t="s">
        <v>28</v>
      </c>
      <c r="G223" s="2">
        <v>45148</v>
      </c>
      <c r="H223" s="24">
        <v>289</v>
      </c>
      <c r="I223" s="23">
        <v>310.58999999999997</v>
      </c>
      <c r="J223" s="3">
        <v>166.54</v>
      </c>
      <c r="K223">
        <v>89760.51</v>
      </c>
      <c r="L223" s="22">
        <f>(Table6[[#This Row],[Unit sold Filled]]*Table6[[#This Row],[Unit Price Filled]])-(Table6[[#This Row],[Unit sold Filled]]*Table6[[#This Row],[Unit Cost]])</f>
        <v>41630.449999999997</v>
      </c>
    </row>
    <row r="224" spans="1:12" x14ac:dyDescent="0.3">
      <c r="A224" s="15" t="s">
        <v>251</v>
      </c>
      <c r="B224" s="17" t="s">
        <v>48</v>
      </c>
      <c r="C224" s="15" t="s">
        <v>18</v>
      </c>
      <c r="D224" t="s">
        <v>42</v>
      </c>
      <c r="E224" s="15" t="s">
        <v>14</v>
      </c>
      <c r="F224" s="15" t="s">
        <v>15</v>
      </c>
      <c r="G224" s="18">
        <v>45149</v>
      </c>
      <c r="H224" s="24">
        <v>21</v>
      </c>
      <c r="I224" s="23">
        <v>263.93</v>
      </c>
      <c r="J224" s="17">
        <v>303.76</v>
      </c>
      <c r="K224">
        <v>5542.53</v>
      </c>
      <c r="L224" s="22">
        <f>(Table6[[#This Row],[Unit sold Filled]]*Table6[[#This Row],[Unit Price Filled]])-(Table6[[#This Row],[Unit sold Filled]]*Table6[[#This Row],[Unit Cost]])</f>
        <v>-836.43000000000029</v>
      </c>
    </row>
    <row r="225" spans="1:12" x14ac:dyDescent="0.3">
      <c r="A225" s="1" t="s">
        <v>252</v>
      </c>
      <c r="B225" s="3" t="s">
        <v>17</v>
      </c>
      <c r="C225" s="1" t="s">
        <v>18</v>
      </c>
      <c r="D225" t="s">
        <v>23</v>
      </c>
      <c r="E225" s="1" t="s">
        <v>14</v>
      </c>
      <c r="F225" s="1" t="s">
        <v>15</v>
      </c>
      <c r="G225" s="2">
        <v>45150</v>
      </c>
      <c r="H225" s="24">
        <v>283</v>
      </c>
      <c r="I225" s="23">
        <v>336.7</v>
      </c>
      <c r="J225" s="3">
        <v>297.88</v>
      </c>
      <c r="K225">
        <v>95286.099999999991</v>
      </c>
      <c r="L225" s="22">
        <f>(Table6[[#This Row],[Unit sold Filled]]*Table6[[#This Row],[Unit Price Filled]])-(Table6[[#This Row],[Unit sold Filled]]*Table6[[#This Row],[Unit Cost]])</f>
        <v>10986.059999999998</v>
      </c>
    </row>
    <row r="226" spans="1:12" x14ac:dyDescent="0.3">
      <c r="A226" s="15" t="s">
        <v>253</v>
      </c>
      <c r="B226" s="17" t="s">
        <v>48</v>
      </c>
      <c r="C226" s="15" t="s">
        <v>50</v>
      </c>
      <c r="D226" t="s">
        <v>13</v>
      </c>
      <c r="E226" s="15" t="s">
        <v>24</v>
      </c>
      <c r="F226" s="15" t="s">
        <v>28</v>
      </c>
      <c r="G226" s="18">
        <v>45151</v>
      </c>
      <c r="H226" s="24">
        <v>280</v>
      </c>
      <c r="I226" s="23">
        <v>465.15</v>
      </c>
      <c r="J226" s="17">
        <v>245.55</v>
      </c>
      <c r="K226">
        <v>130242</v>
      </c>
      <c r="L226" s="22">
        <f>(Table6[[#This Row],[Unit sold Filled]]*Table6[[#This Row],[Unit Price Filled]])-(Table6[[#This Row],[Unit sold Filled]]*Table6[[#This Row],[Unit Cost]])</f>
        <v>61488</v>
      </c>
    </row>
    <row r="227" spans="1:12" x14ac:dyDescent="0.3">
      <c r="A227" s="1" t="s">
        <v>254</v>
      </c>
      <c r="B227" s="3" t="s">
        <v>48</v>
      </c>
      <c r="C227" s="1" t="s">
        <v>31</v>
      </c>
      <c r="D227" t="s">
        <v>19</v>
      </c>
      <c r="E227" s="1" t="s">
        <v>24</v>
      </c>
      <c r="F227" s="1" t="s">
        <v>15</v>
      </c>
      <c r="G227" s="2">
        <v>45152</v>
      </c>
      <c r="H227" s="24">
        <v>217</v>
      </c>
      <c r="I227" s="23">
        <v>268.47000000000003</v>
      </c>
      <c r="J227" s="3">
        <v>44.16</v>
      </c>
      <c r="K227">
        <v>58257.990000000005</v>
      </c>
      <c r="L227" s="22">
        <f>(Table6[[#This Row],[Unit sold Filled]]*Table6[[#This Row],[Unit Price Filled]])-(Table6[[#This Row],[Unit sold Filled]]*Table6[[#This Row],[Unit Cost]])</f>
        <v>48675.270000000004</v>
      </c>
    </row>
    <row r="228" spans="1:12" x14ac:dyDescent="0.3">
      <c r="A228" s="15" t="s">
        <v>255</v>
      </c>
      <c r="B228" s="17" t="s">
        <v>22</v>
      </c>
      <c r="C228" s="15" t="s">
        <v>31</v>
      </c>
      <c r="D228" t="s">
        <v>27</v>
      </c>
      <c r="E228" s="15" t="s">
        <v>24</v>
      </c>
      <c r="F228" s="15" t="s">
        <v>15</v>
      </c>
      <c r="G228" s="18">
        <v>45153</v>
      </c>
      <c r="H228" s="24">
        <v>36</v>
      </c>
      <c r="I228" s="23">
        <v>292.56</v>
      </c>
      <c r="J228" s="17">
        <v>62.32</v>
      </c>
      <c r="K228">
        <v>10532.16</v>
      </c>
      <c r="L228" s="22">
        <f>(Table6[[#This Row],[Unit sold Filled]]*Table6[[#This Row],[Unit Price Filled]])-(Table6[[#This Row],[Unit sold Filled]]*Table6[[#This Row],[Unit Cost]])</f>
        <v>8288.64</v>
      </c>
    </row>
    <row r="229" spans="1:12" x14ac:dyDescent="0.3">
      <c r="A229" s="1" t="s">
        <v>256</v>
      </c>
      <c r="B229" s="3" t="s">
        <v>48</v>
      </c>
      <c r="C229" s="1" t="s">
        <v>50</v>
      </c>
      <c r="D229" t="s">
        <v>19</v>
      </c>
      <c r="E229" s="1" t="s">
        <v>24</v>
      </c>
      <c r="F229" s="1" t="s">
        <v>28</v>
      </c>
      <c r="G229" s="2">
        <v>45154</v>
      </c>
      <c r="H229" s="24">
        <v>255.90294117647059</v>
      </c>
      <c r="I229" s="23">
        <v>49.37</v>
      </c>
      <c r="J229" s="3">
        <v>39.32</v>
      </c>
      <c r="K229">
        <v>12633.928205882352</v>
      </c>
      <c r="L229" s="22">
        <f>(Table6[[#This Row],[Unit sold Filled]]*Table6[[#This Row],[Unit Price Filled]])-(Table6[[#This Row],[Unit sold Filled]]*Table6[[#This Row],[Unit Cost]])</f>
        <v>2571.8245588235277</v>
      </c>
    </row>
    <row r="230" spans="1:12" x14ac:dyDescent="0.3">
      <c r="A230" s="15" t="s">
        <v>257</v>
      </c>
      <c r="B230" s="17" t="s">
        <v>22</v>
      </c>
      <c r="C230" s="15" t="s">
        <v>12</v>
      </c>
      <c r="D230" t="s">
        <v>27</v>
      </c>
      <c r="E230" s="15" t="s">
        <v>14</v>
      </c>
      <c r="F230" s="15" t="s">
        <v>28</v>
      </c>
      <c r="G230" s="18">
        <v>45155</v>
      </c>
      <c r="H230" s="24">
        <v>69</v>
      </c>
      <c r="I230" s="23">
        <v>360.23</v>
      </c>
      <c r="J230" s="17">
        <v>231.71</v>
      </c>
      <c r="K230">
        <v>24855.870000000003</v>
      </c>
      <c r="L230" s="22">
        <f>(Table6[[#This Row],[Unit sold Filled]]*Table6[[#This Row],[Unit Price Filled]])-(Table6[[#This Row],[Unit sold Filled]]*Table6[[#This Row],[Unit Cost]])</f>
        <v>8867.8800000000028</v>
      </c>
    </row>
    <row r="231" spans="1:12" x14ac:dyDescent="0.3">
      <c r="A231" s="1" t="s">
        <v>258</v>
      </c>
      <c r="B231" s="3" t="s">
        <v>22</v>
      </c>
      <c r="C231" s="1" t="s">
        <v>31</v>
      </c>
      <c r="D231" t="s">
        <v>13</v>
      </c>
      <c r="E231" s="1" t="s">
        <v>14</v>
      </c>
      <c r="F231" s="1" t="s">
        <v>28</v>
      </c>
      <c r="G231" s="2">
        <v>45156</v>
      </c>
      <c r="H231" s="24">
        <v>439</v>
      </c>
      <c r="I231" s="23">
        <v>202.95</v>
      </c>
      <c r="J231" s="3">
        <v>351.1</v>
      </c>
      <c r="K231">
        <v>89095.049999999988</v>
      </c>
      <c r="L231" s="22">
        <f>(Table6[[#This Row],[Unit sold Filled]]*Table6[[#This Row],[Unit Price Filled]])-(Table6[[#This Row],[Unit sold Filled]]*Table6[[#This Row],[Unit Cost]])</f>
        <v>-65037.850000000035</v>
      </c>
    </row>
    <row r="232" spans="1:12" x14ac:dyDescent="0.3">
      <c r="A232" s="15" t="s">
        <v>259</v>
      </c>
      <c r="B232" s="17" t="s">
        <v>48</v>
      </c>
      <c r="C232" s="15" t="s">
        <v>18</v>
      </c>
      <c r="D232" t="s">
        <v>27</v>
      </c>
      <c r="E232" s="15" t="s">
        <v>14</v>
      </c>
      <c r="F232" s="15" t="s">
        <v>20</v>
      </c>
      <c r="G232" s="18">
        <v>45157</v>
      </c>
      <c r="H232" s="24">
        <v>482</v>
      </c>
      <c r="I232" s="23">
        <v>488.48</v>
      </c>
      <c r="J232" s="17">
        <v>174.65</v>
      </c>
      <c r="K232">
        <v>235447.36000000002</v>
      </c>
      <c r="L232" s="22">
        <f>(Table6[[#This Row],[Unit sold Filled]]*Table6[[#This Row],[Unit Price Filled]])-(Table6[[#This Row],[Unit sold Filled]]*Table6[[#This Row],[Unit Cost]])</f>
        <v>151266.06</v>
      </c>
    </row>
    <row r="233" spans="1:12" x14ac:dyDescent="0.3">
      <c r="A233" s="1" t="s">
        <v>260</v>
      </c>
      <c r="B233" s="3" t="s">
        <v>17</v>
      </c>
      <c r="C233" s="1" t="s">
        <v>18</v>
      </c>
      <c r="D233" t="s">
        <v>23</v>
      </c>
      <c r="E233" s="1" t="s">
        <v>14</v>
      </c>
      <c r="F233" s="1" t="s">
        <v>20</v>
      </c>
      <c r="G233" s="2">
        <v>45158</v>
      </c>
      <c r="H233" s="24">
        <v>154</v>
      </c>
      <c r="I233" s="23">
        <v>412.47</v>
      </c>
      <c r="J233" s="3">
        <v>66.02</v>
      </c>
      <c r="K233">
        <v>63520.380000000005</v>
      </c>
      <c r="L233" s="22">
        <f>(Table6[[#This Row],[Unit sold Filled]]*Table6[[#This Row],[Unit Price Filled]])-(Table6[[#This Row],[Unit sold Filled]]*Table6[[#This Row],[Unit Cost]])</f>
        <v>53353.3</v>
      </c>
    </row>
    <row r="234" spans="1:12" x14ac:dyDescent="0.3">
      <c r="A234" s="15" t="s">
        <v>261</v>
      </c>
      <c r="B234" s="17" t="s">
        <v>17</v>
      </c>
      <c r="C234" s="15" t="s">
        <v>26</v>
      </c>
      <c r="D234" t="s">
        <v>23</v>
      </c>
      <c r="E234" s="15" t="s">
        <v>24</v>
      </c>
      <c r="F234" s="15" t="s">
        <v>28</v>
      </c>
      <c r="G234" s="18">
        <v>45159</v>
      </c>
      <c r="H234" s="24">
        <v>102</v>
      </c>
      <c r="I234" s="23">
        <v>263.63</v>
      </c>
      <c r="J234" s="17">
        <v>224.1</v>
      </c>
      <c r="K234">
        <v>26890.26</v>
      </c>
      <c r="L234" s="22">
        <f>(Table6[[#This Row],[Unit sold Filled]]*Table6[[#This Row],[Unit Price Filled]])-(Table6[[#This Row],[Unit sold Filled]]*Table6[[#This Row],[Unit Cost]])</f>
        <v>4032.0599999999977</v>
      </c>
    </row>
    <row r="235" spans="1:12" x14ac:dyDescent="0.3">
      <c r="A235" s="1" t="s">
        <v>262</v>
      </c>
      <c r="B235" s="3" t="s">
        <v>17</v>
      </c>
      <c r="C235" s="1" t="s">
        <v>31</v>
      </c>
      <c r="D235" t="s">
        <v>23</v>
      </c>
      <c r="E235" s="1" t="s">
        <v>14</v>
      </c>
      <c r="F235" s="1" t="s">
        <v>28</v>
      </c>
      <c r="G235" s="2">
        <v>45160</v>
      </c>
      <c r="H235" s="24">
        <v>318</v>
      </c>
      <c r="I235" s="23">
        <v>66</v>
      </c>
      <c r="J235" s="3">
        <v>325.08</v>
      </c>
      <c r="K235">
        <v>20988</v>
      </c>
      <c r="L235" s="22">
        <f>(Table6[[#This Row],[Unit sold Filled]]*Table6[[#This Row],[Unit Price Filled]])-(Table6[[#This Row],[Unit sold Filled]]*Table6[[#This Row],[Unit Cost]])</f>
        <v>-82387.439999999988</v>
      </c>
    </row>
    <row r="236" spans="1:12" x14ac:dyDescent="0.3">
      <c r="A236" s="15" t="s">
        <v>263</v>
      </c>
      <c r="B236" s="17" t="s">
        <v>17</v>
      </c>
      <c r="C236" s="15" t="s">
        <v>12</v>
      </c>
      <c r="D236" t="s">
        <v>23</v>
      </c>
      <c r="E236" s="15" t="s">
        <v>14</v>
      </c>
      <c r="F236" s="15" t="s">
        <v>28</v>
      </c>
      <c r="G236" s="18">
        <v>45161</v>
      </c>
      <c r="H236" s="24">
        <v>17</v>
      </c>
      <c r="I236" s="23">
        <v>430.41</v>
      </c>
      <c r="J236" s="17">
        <v>297.2</v>
      </c>
      <c r="K236">
        <v>7316.97</v>
      </c>
      <c r="L236" s="22">
        <f>(Table6[[#This Row],[Unit sold Filled]]*Table6[[#This Row],[Unit Price Filled]])-(Table6[[#This Row],[Unit sold Filled]]*Table6[[#This Row],[Unit Cost]])</f>
        <v>2264.5700000000006</v>
      </c>
    </row>
    <row r="237" spans="1:12" x14ac:dyDescent="0.3">
      <c r="A237" s="1" t="s">
        <v>264</v>
      </c>
      <c r="B237" s="3" t="s">
        <v>17</v>
      </c>
      <c r="C237" s="1" t="s">
        <v>50</v>
      </c>
      <c r="D237" t="s">
        <v>19</v>
      </c>
      <c r="E237" s="1" t="s">
        <v>24</v>
      </c>
      <c r="F237" s="1" t="s">
        <v>20</v>
      </c>
      <c r="G237" s="2">
        <v>45162</v>
      </c>
      <c r="H237" s="24">
        <v>88</v>
      </c>
      <c r="I237" s="23">
        <v>400.89</v>
      </c>
      <c r="J237" s="3">
        <v>352.82</v>
      </c>
      <c r="K237">
        <v>35278.32</v>
      </c>
      <c r="L237" s="22">
        <f>(Table6[[#This Row],[Unit sold Filled]]*Table6[[#This Row],[Unit Price Filled]])-(Table6[[#This Row],[Unit sold Filled]]*Table6[[#This Row],[Unit Cost]])</f>
        <v>4230.16</v>
      </c>
    </row>
    <row r="238" spans="1:12" x14ac:dyDescent="0.3">
      <c r="A238" s="15" t="s">
        <v>265</v>
      </c>
      <c r="B238" s="17" t="s">
        <v>48</v>
      </c>
      <c r="C238" s="15" t="s">
        <v>50</v>
      </c>
      <c r="D238" t="s">
        <v>13</v>
      </c>
      <c r="E238" s="15" t="s">
        <v>24</v>
      </c>
      <c r="F238" s="15" t="s">
        <v>20</v>
      </c>
      <c r="G238" s="18">
        <v>45163</v>
      </c>
      <c r="H238" s="24">
        <v>36</v>
      </c>
      <c r="I238" s="23">
        <v>96.37</v>
      </c>
      <c r="J238" s="17">
        <v>112.61</v>
      </c>
      <c r="K238">
        <v>3469.32</v>
      </c>
      <c r="L238" s="22">
        <f>(Table6[[#This Row],[Unit sold Filled]]*Table6[[#This Row],[Unit Price Filled]])-(Table6[[#This Row],[Unit sold Filled]]*Table6[[#This Row],[Unit Cost]])</f>
        <v>-584.63999999999987</v>
      </c>
    </row>
    <row r="239" spans="1:12" x14ac:dyDescent="0.3">
      <c r="A239" s="1" t="s">
        <v>266</v>
      </c>
      <c r="B239" s="3" t="s">
        <v>48</v>
      </c>
      <c r="C239" s="1" t="s">
        <v>12</v>
      </c>
      <c r="D239" t="s">
        <v>27</v>
      </c>
      <c r="E239" s="1" t="s">
        <v>24</v>
      </c>
      <c r="F239" s="1" t="s">
        <v>15</v>
      </c>
      <c r="G239" s="2">
        <v>45164</v>
      </c>
      <c r="H239" s="24">
        <v>183</v>
      </c>
      <c r="I239" s="23">
        <v>151.16</v>
      </c>
      <c r="J239" s="3">
        <v>79.19</v>
      </c>
      <c r="K239">
        <v>27662.28</v>
      </c>
      <c r="L239" s="22">
        <f>(Table6[[#This Row],[Unit sold Filled]]*Table6[[#This Row],[Unit Price Filled]])-(Table6[[#This Row],[Unit sold Filled]]*Table6[[#This Row],[Unit Cost]])</f>
        <v>13170.509999999998</v>
      </c>
    </row>
    <row r="240" spans="1:12" x14ac:dyDescent="0.3">
      <c r="A240" s="15" t="s">
        <v>267</v>
      </c>
      <c r="B240" s="17" t="s">
        <v>11</v>
      </c>
      <c r="C240" s="15" t="s">
        <v>26</v>
      </c>
      <c r="D240" t="s">
        <v>27</v>
      </c>
      <c r="E240" s="15" t="s">
        <v>24</v>
      </c>
      <c r="F240" s="15" t="s">
        <v>15</v>
      </c>
      <c r="G240" s="18">
        <v>45165</v>
      </c>
      <c r="H240" s="24">
        <v>59</v>
      </c>
      <c r="I240" s="23">
        <v>397.74</v>
      </c>
      <c r="J240" s="17">
        <v>352.17</v>
      </c>
      <c r="K240">
        <v>23466.66</v>
      </c>
      <c r="L240" s="22">
        <f>(Table6[[#This Row],[Unit sold Filled]]*Table6[[#This Row],[Unit Price Filled]])-(Table6[[#This Row],[Unit sold Filled]]*Table6[[#This Row],[Unit Cost]])</f>
        <v>2688.6299999999974</v>
      </c>
    </row>
    <row r="241" spans="1:12" x14ac:dyDescent="0.3">
      <c r="A241" s="1" t="s">
        <v>268</v>
      </c>
      <c r="B241" s="3" t="s">
        <v>17</v>
      </c>
      <c r="C241" s="1" t="s">
        <v>50</v>
      </c>
      <c r="D241" t="s">
        <v>23</v>
      </c>
      <c r="E241" s="1" t="s">
        <v>14</v>
      </c>
      <c r="F241" s="1" t="s">
        <v>28</v>
      </c>
      <c r="G241" s="2">
        <v>45166</v>
      </c>
      <c r="H241" s="24">
        <v>208</v>
      </c>
      <c r="I241" s="23">
        <v>96.69</v>
      </c>
      <c r="J241" s="3">
        <v>263.70999999999998</v>
      </c>
      <c r="K241">
        <v>20111.52</v>
      </c>
      <c r="L241" s="22">
        <f>(Table6[[#This Row],[Unit sold Filled]]*Table6[[#This Row],[Unit Price Filled]])-(Table6[[#This Row],[Unit sold Filled]]*Table6[[#This Row],[Unit Cost]])</f>
        <v>-34740.159999999989</v>
      </c>
    </row>
    <row r="242" spans="1:12" x14ac:dyDescent="0.3">
      <c r="A242" s="15" t="s">
        <v>269</v>
      </c>
      <c r="B242" s="17" t="s">
        <v>48</v>
      </c>
      <c r="C242" s="15" t="s">
        <v>31</v>
      </c>
      <c r="D242" t="s">
        <v>23</v>
      </c>
      <c r="E242" s="15" t="s">
        <v>14</v>
      </c>
      <c r="F242" s="15" t="s">
        <v>20</v>
      </c>
      <c r="G242" s="18">
        <v>45167</v>
      </c>
      <c r="H242" s="24">
        <v>396</v>
      </c>
      <c r="I242" s="23">
        <v>459.29</v>
      </c>
      <c r="J242" s="17">
        <v>125.75</v>
      </c>
      <c r="K242">
        <v>181878.84</v>
      </c>
      <c r="L242" s="22">
        <f>(Table6[[#This Row],[Unit sold Filled]]*Table6[[#This Row],[Unit Price Filled]])-(Table6[[#This Row],[Unit sold Filled]]*Table6[[#This Row],[Unit Cost]])</f>
        <v>132081.84</v>
      </c>
    </row>
    <row r="243" spans="1:12" x14ac:dyDescent="0.3">
      <c r="A243" s="1" t="s">
        <v>270</v>
      </c>
      <c r="B243" s="3" t="s">
        <v>11</v>
      </c>
      <c r="C243" s="1" t="s">
        <v>26</v>
      </c>
      <c r="D243" t="s">
        <v>42</v>
      </c>
      <c r="E243" s="1" t="s">
        <v>24</v>
      </c>
      <c r="F243" s="1" t="s">
        <v>20</v>
      </c>
      <c r="G243" s="2">
        <v>45168</v>
      </c>
      <c r="H243" s="24">
        <v>358</v>
      </c>
      <c r="I243" s="23">
        <v>215.14</v>
      </c>
      <c r="J243" s="3">
        <v>297.45</v>
      </c>
      <c r="K243">
        <v>77020.12</v>
      </c>
      <c r="L243" s="22">
        <f>(Table6[[#This Row],[Unit sold Filled]]*Table6[[#This Row],[Unit Price Filled]])-(Table6[[#This Row],[Unit sold Filled]]*Table6[[#This Row],[Unit Cost]])</f>
        <v>-29466.979999999996</v>
      </c>
    </row>
    <row r="244" spans="1:12" x14ac:dyDescent="0.3">
      <c r="A244" s="15" t="s">
        <v>271</v>
      </c>
      <c r="B244" s="17" t="s">
        <v>17</v>
      </c>
      <c r="C244" s="15" t="s">
        <v>31</v>
      </c>
      <c r="D244" t="s">
        <v>13</v>
      </c>
      <c r="E244" s="15" t="s">
        <v>14</v>
      </c>
      <c r="F244" s="15" t="s">
        <v>20</v>
      </c>
      <c r="G244" s="18">
        <v>45169</v>
      </c>
      <c r="H244" s="24">
        <v>457</v>
      </c>
      <c r="I244" s="23">
        <v>48.08</v>
      </c>
      <c r="J244" s="17">
        <v>326.42</v>
      </c>
      <c r="K244">
        <v>21972.559999999998</v>
      </c>
      <c r="L244" s="22">
        <f>(Table6[[#This Row],[Unit sold Filled]]*Table6[[#This Row],[Unit Price Filled]])-(Table6[[#This Row],[Unit sold Filled]]*Table6[[#This Row],[Unit Cost]])</f>
        <v>-127201.38</v>
      </c>
    </row>
    <row r="245" spans="1:12" x14ac:dyDescent="0.3">
      <c r="A245" s="1" t="s">
        <v>272</v>
      </c>
      <c r="B245" s="3" t="s">
        <v>22</v>
      </c>
      <c r="C245" s="1" t="s">
        <v>18</v>
      </c>
      <c r="D245" t="s">
        <v>19</v>
      </c>
      <c r="E245" s="1" t="s">
        <v>14</v>
      </c>
      <c r="F245" s="1" t="s">
        <v>28</v>
      </c>
      <c r="G245" s="2">
        <v>45170</v>
      </c>
      <c r="H245" s="24">
        <v>437</v>
      </c>
      <c r="I245" s="23">
        <v>408.8</v>
      </c>
      <c r="J245" s="3">
        <v>246.76</v>
      </c>
      <c r="K245">
        <v>178645.6</v>
      </c>
      <c r="L245" s="22">
        <f>(Table6[[#This Row],[Unit sold Filled]]*Table6[[#This Row],[Unit Price Filled]])-(Table6[[#This Row],[Unit sold Filled]]*Table6[[#This Row],[Unit Cost]])</f>
        <v>70811.48000000001</v>
      </c>
    </row>
    <row r="246" spans="1:12" x14ac:dyDescent="0.3">
      <c r="A246" s="15" t="s">
        <v>273</v>
      </c>
      <c r="B246" s="17" t="s">
        <v>11</v>
      </c>
      <c r="C246" s="15" t="s">
        <v>26</v>
      </c>
      <c r="D246" t="s">
        <v>27</v>
      </c>
      <c r="E246" s="15" t="s">
        <v>14</v>
      </c>
      <c r="F246" s="15" t="s">
        <v>15</v>
      </c>
      <c r="G246" s="18">
        <v>45171</v>
      </c>
      <c r="H246" s="24">
        <v>190</v>
      </c>
      <c r="I246" s="23">
        <v>189.89</v>
      </c>
      <c r="J246" s="17">
        <v>275.77999999999997</v>
      </c>
      <c r="K246">
        <v>36079.1</v>
      </c>
      <c r="L246" s="22">
        <f>(Table6[[#This Row],[Unit sold Filled]]*Table6[[#This Row],[Unit Price Filled]])-(Table6[[#This Row],[Unit sold Filled]]*Table6[[#This Row],[Unit Cost]])</f>
        <v>-16319.099999999999</v>
      </c>
    </row>
    <row r="247" spans="1:12" x14ac:dyDescent="0.3">
      <c r="A247" s="1" t="s">
        <v>274</v>
      </c>
      <c r="B247" s="3" t="s">
        <v>48</v>
      </c>
      <c r="C247" s="1" t="s">
        <v>50</v>
      </c>
      <c r="D247" t="s">
        <v>42</v>
      </c>
      <c r="E247" s="1" t="s">
        <v>24</v>
      </c>
      <c r="F247" s="1" t="s">
        <v>28</v>
      </c>
      <c r="G247" s="2">
        <v>45172</v>
      </c>
      <c r="H247" s="24">
        <v>33</v>
      </c>
      <c r="I247" s="23">
        <v>265.62</v>
      </c>
      <c r="J247" s="3">
        <v>151.35</v>
      </c>
      <c r="K247">
        <v>8765.4600000000009</v>
      </c>
      <c r="L247" s="22">
        <f>(Table6[[#This Row],[Unit sold Filled]]*Table6[[#This Row],[Unit Price Filled]])-(Table6[[#This Row],[Unit sold Filled]]*Table6[[#This Row],[Unit Cost]])</f>
        <v>3770.9100000000008</v>
      </c>
    </row>
    <row r="248" spans="1:12" x14ac:dyDescent="0.3">
      <c r="A248" s="15" t="s">
        <v>275</v>
      </c>
      <c r="B248" s="17" t="s">
        <v>22</v>
      </c>
      <c r="C248" s="15" t="s">
        <v>26</v>
      </c>
      <c r="D248" t="s">
        <v>42</v>
      </c>
      <c r="E248" s="15" t="s">
        <v>14</v>
      </c>
      <c r="F248" s="15" t="s">
        <v>15</v>
      </c>
      <c r="G248" s="18">
        <v>45173</v>
      </c>
      <c r="H248" s="24">
        <v>325</v>
      </c>
      <c r="I248" s="23">
        <v>60.59</v>
      </c>
      <c r="J248" s="17">
        <v>216.4</v>
      </c>
      <c r="K248">
        <v>19691.75</v>
      </c>
      <c r="L248" s="22">
        <f>(Table6[[#This Row],[Unit sold Filled]]*Table6[[#This Row],[Unit Price Filled]])-(Table6[[#This Row],[Unit sold Filled]]*Table6[[#This Row],[Unit Cost]])</f>
        <v>-50638.25</v>
      </c>
    </row>
    <row r="249" spans="1:12" x14ac:dyDescent="0.3">
      <c r="A249" s="1" t="s">
        <v>276</v>
      </c>
      <c r="B249" s="3" t="s">
        <v>22</v>
      </c>
      <c r="C249" s="1" t="s">
        <v>26</v>
      </c>
      <c r="D249" t="s">
        <v>27</v>
      </c>
      <c r="E249" s="1" t="s">
        <v>24</v>
      </c>
      <c r="F249" s="1" t="s">
        <v>15</v>
      </c>
      <c r="G249" s="2">
        <v>45174</v>
      </c>
      <c r="H249" s="24">
        <v>387</v>
      </c>
      <c r="I249" s="23">
        <v>6.28</v>
      </c>
      <c r="J249" s="3">
        <v>210.62</v>
      </c>
      <c r="K249">
        <v>2430.36</v>
      </c>
      <c r="L249" s="22">
        <f>(Table6[[#This Row],[Unit sold Filled]]*Table6[[#This Row],[Unit Price Filled]])-(Table6[[#This Row],[Unit sold Filled]]*Table6[[#This Row],[Unit Cost]])</f>
        <v>-79079.58</v>
      </c>
    </row>
    <row r="250" spans="1:12" x14ac:dyDescent="0.3">
      <c r="A250" s="15" t="s">
        <v>277</v>
      </c>
      <c r="B250" s="17" t="s">
        <v>22</v>
      </c>
      <c r="C250" s="15" t="s">
        <v>26</v>
      </c>
      <c r="D250" t="s">
        <v>19</v>
      </c>
      <c r="E250" s="15" t="s">
        <v>14</v>
      </c>
      <c r="F250" s="15" t="s">
        <v>28</v>
      </c>
      <c r="G250" s="18">
        <v>45175</v>
      </c>
      <c r="H250" s="24">
        <v>396</v>
      </c>
      <c r="I250" s="23">
        <v>320.8</v>
      </c>
      <c r="J250" s="17">
        <v>339.52</v>
      </c>
      <c r="K250">
        <v>127036.8</v>
      </c>
      <c r="L250" s="22">
        <f>(Table6[[#This Row],[Unit sold Filled]]*Table6[[#This Row],[Unit Price Filled]])-(Table6[[#This Row],[Unit sold Filled]]*Table6[[#This Row],[Unit Cost]])</f>
        <v>-7413.1199999999808</v>
      </c>
    </row>
    <row r="251" spans="1:12" x14ac:dyDescent="0.3">
      <c r="A251" s="1" t="s">
        <v>278</v>
      </c>
      <c r="B251" s="3" t="s">
        <v>11</v>
      </c>
      <c r="C251" s="1" t="s">
        <v>26</v>
      </c>
      <c r="D251" t="s">
        <v>42</v>
      </c>
      <c r="E251" s="1" t="s">
        <v>14</v>
      </c>
      <c r="F251" s="1" t="s">
        <v>15</v>
      </c>
      <c r="G251" s="2">
        <v>45176</v>
      </c>
      <c r="H251" s="24">
        <v>413</v>
      </c>
      <c r="I251" s="23">
        <v>260.01</v>
      </c>
      <c r="J251" s="3">
        <v>336.31</v>
      </c>
      <c r="K251">
        <v>107384.12999999999</v>
      </c>
      <c r="L251" s="22">
        <f>(Table6[[#This Row],[Unit sold Filled]]*Table6[[#This Row],[Unit Price Filled]])-(Table6[[#This Row],[Unit sold Filled]]*Table6[[#This Row],[Unit Cost]])</f>
        <v>-31511.900000000009</v>
      </c>
    </row>
    <row r="252" spans="1:12" x14ac:dyDescent="0.3">
      <c r="A252" s="15" t="s">
        <v>279</v>
      </c>
      <c r="B252" s="17" t="s">
        <v>48</v>
      </c>
      <c r="C252" s="15" t="s">
        <v>31</v>
      </c>
      <c r="D252" t="s">
        <v>42</v>
      </c>
      <c r="E252" s="15" t="s">
        <v>14</v>
      </c>
      <c r="F252" s="15" t="s">
        <v>15</v>
      </c>
      <c r="G252" s="18">
        <v>45177</v>
      </c>
      <c r="H252" s="24">
        <v>255.90294117647059</v>
      </c>
      <c r="I252" s="23">
        <v>298.8</v>
      </c>
      <c r="J252" s="17">
        <v>333.41</v>
      </c>
      <c r="K252">
        <v>76463.798823529418</v>
      </c>
      <c r="L252" s="22">
        <f>(Table6[[#This Row],[Unit sold Filled]]*Table6[[#This Row],[Unit Price Filled]])-(Table6[[#This Row],[Unit sold Filled]]*Table6[[#This Row],[Unit Cost]])</f>
        <v>-8856.8007941176475</v>
      </c>
    </row>
    <row r="253" spans="1:12" x14ac:dyDescent="0.3">
      <c r="A253" s="1" t="s">
        <v>280</v>
      </c>
      <c r="B253" s="3" t="s">
        <v>22</v>
      </c>
      <c r="C253" s="1" t="s">
        <v>18</v>
      </c>
      <c r="D253" t="s">
        <v>13</v>
      </c>
      <c r="E253" s="1" t="s">
        <v>24</v>
      </c>
      <c r="F253" s="1" t="s">
        <v>20</v>
      </c>
      <c r="G253" s="2">
        <v>45178</v>
      </c>
      <c r="H253" s="24">
        <v>24</v>
      </c>
      <c r="I253" s="23">
        <v>397.9</v>
      </c>
      <c r="J253" s="3">
        <v>6.39</v>
      </c>
      <c r="K253">
        <v>9549.5999999999985</v>
      </c>
      <c r="L253" s="22">
        <f>(Table6[[#This Row],[Unit sold Filled]]*Table6[[#This Row],[Unit Price Filled]])-(Table6[[#This Row],[Unit sold Filled]]*Table6[[#This Row],[Unit Cost]])</f>
        <v>9396.239999999998</v>
      </c>
    </row>
    <row r="254" spans="1:12" x14ac:dyDescent="0.3">
      <c r="A254" s="15" t="s">
        <v>281</v>
      </c>
      <c r="B254" s="17" t="s">
        <v>17</v>
      </c>
      <c r="C254" s="15" t="s">
        <v>12</v>
      </c>
      <c r="D254" t="s">
        <v>389</v>
      </c>
      <c r="E254" s="15" t="s">
        <v>14</v>
      </c>
      <c r="F254" s="15" t="s">
        <v>15</v>
      </c>
      <c r="G254" s="18">
        <v>45179</v>
      </c>
      <c r="H254" s="24">
        <v>162</v>
      </c>
      <c r="I254" s="23">
        <v>325.07</v>
      </c>
      <c r="J254" s="17">
        <v>300.32</v>
      </c>
      <c r="K254">
        <v>52661.34</v>
      </c>
      <c r="L254" s="22">
        <f>(Table6[[#This Row],[Unit sold Filled]]*Table6[[#This Row],[Unit Price Filled]])-(Table6[[#This Row],[Unit sold Filled]]*Table6[[#This Row],[Unit Cost]])</f>
        <v>4009.5</v>
      </c>
    </row>
    <row r="255" spans="1:12" x14ac:dyDescent="0.3">
      <c r="A255" s="1" t="s">
        <v>282</v>
      </c>
      <c r="B255" s="3" t="s">
        <v>22</v>
      </c>
      <c r="C255" s="1" t="s">
        <v>26</v>
      </c>
      <c r="D255" t="s">
        <v>42</v>
      </c>
      <c r="E255" s="1" t="s">
        <v>24</v>
      </c>
      <c r="F255" s="1" t="s">
        <v>28</v>
      </c>
      <c r="G255" s="2">
        <v>45180</v>
      </c>
      <c r="H255" s="24">
        <v>231</v>
      </c>
      <c r="I255" s="23">
        <v>91.51</v>
      </c>
      <c r="J255" s="3">
        <v>303.95</v>
      </c>
      <c r="K255">
        <v>21138.81</v>
      </c>
      <c r="L255" s="22">
        <f>(Table6[[#This Row],[Unit sold Filled]]*Table6[[#This Row],[Unit Price Filled]])-(Table6[[#This Row],[Unit sold Filled]]*Table6[[#This Row],[Unit Cost]])</f>
        <v>-49073.64</v>
      </c>
    </row>
    <row r="256" spans="1:12" x14ac:dyDescent="0.3">
      <c r="A256" s="15" t="s">
        <v>283</v>
      </c>
      <c r="B256" s="17" t="s">
        <v>22</v>
      </c>
      <c r="C256" s="15" t="s">
        <v>50</v>
      </c>
      <c r="D256" t="s">
        <v>19</v>
      </c>
      <c r="E256" s="15" t="s">
        <v>24</v>
      </c>
      <c r="F256" s="15" t="s">
        <v>28</v>
      </c>
      <c r="G256" s="18">
        <v>45181</v>
      </c>
      <c r="H256" s="24">
        <v>215</v>
      </c>
      <c r="I256" s="23">
        <v>183.58</v>
      </c>
      <c r="J256" s="17">
        <v>271.99</v>
      </c>
      <c r="K256">
        <v>39469.700000000004</v>
      </c>
      <c r="L256" s="22">
        <f>(Table6[[#This Row],[Unit sold Filled]]*Table6[[#This Row],[Unit Price Filled]])-(Table6[[#This Row],[Unit sold Filled]]*Table6[[#This Row],[Unit Cost]])</f>
        <v>-19008.149999999994</v>
      </c>
    </row>
    <row r="257" spans="1:12" x14ac:dyDescent="0.3">
      <c r="A257" s="1" t="s">
        <v>284</v>
      </c>
      <c r="B257" s="3" t="s">
        <v>11</v>
      </c>
      <c r="C257" s="1" t="s">
        <v>26</v>
      </c>
      <c r="D257" t="s">
        <v>27</v>
      </c>
      <c r="E257" s="1" t="s">
        <v>24</v>
      </c>
      <c r="F257" s="1" t="s">
        <v>15</v>
      </c>
      <c r="G257" s="2">
        <v>45182</v>
      </c>
      <c r="H257" s="24">
        <v>464</v>
      </c>
      <c r="I257" s="23">
        <v>453.42</v>
      </c>
      <c r="J257" s="3">
        <v>302.99</v>
      </c>
      <c r="K257">
        <v>210386.88</v>
      </c>
      <c r="L257" s="22">
        <f>(Table6[[#This Row],[Unit sold Filled]]*Table6[[#This Row],[Unit Price Filled]])-(Table6[[#This Row],[Unit sold Filled]]*Table6[[#This Row],[Unit Cost]])</f>
        <v>69799.51999999999</v>
      </c>
    </row>
    <row r="258" spans="1:12" x14ac:dyDescent="0.3">
      <c r="A258" s="15" t="s">
        <v>285</v>
      </c>
      <c r="B258" s="17" t="s">
        <v>11</v>
      </c>
      <c r="C258" s="15" t="s">
        <v>50</v>
      </c>
      <c r="D258" t="s">
        <v>23</v>
      </c>
      <c r="E258" s="15" t="s">
        <v>14</v>
      </c>
      <c r="F258" s="15" t="s">
        <v>20</v>
      </c>
      <c r="G258" s="18">
        <v>45183</v>
      </c>
      <c r="H258" s="24">
        <v>282</v>
      </c>
      <c r="I258" s="23">
        <v>249.64520588235297</v>
      </c>
      <c r="J258" s="17">
        <v>337.1</v>
      </c>
      <c r="K258">
        <v>70399.948058823531</v>
      </c>
      <c r="L258" s="22">
        <f>(Table6[[#This Row],[Unit sold Filled]]*Table6[[#This Row],[Unit Price Filled]])-(Table6[[#This Row],[Unit sold Filled]]*Table6[[#This Row],[Unit Cost]])</f>
        <v>-24662.251941176481</v>
      </c>
    </row>
    <row r="259" spans="1:12" x14ac:dyDescent="0.3">
      <c r="A259" s="1" t="s">
        <v>286</v>
      </c>
      <c r="B259" s="3" t="s">
        <v>48</v>
      </c>
      <c r="C259" s="1" t="s">
        <v>31</v>
      </c>
      <c r="D259" t="s">
        <v>42</v>
      </c>
      <c r="E259" s="1" t="s">
        <v>14</v>
      </c>
      <c r="F259" s="1" t="s">
        <v>20</v>
      </c>
      <c r="G259" s="2">
        <v>45184</v>
      </c>
      <c r="H259" s="24">
        <v>391</v>
      </c>
      <c r="I259" s="23">
        <v>280.54000000000002</v>
      </c>
      <c r="J259" s="3">
        <v>189.19</v>
      </c>
      <c r="K259">
        <v>109691.14000000001</v>
      </c>
      <c r="L259" s="22">
        <f>(Table6[[#This Row],[Unit sold Filled]]*Table6[[#This Row],[Unit Price Filled]])-(Table6[[#This Row],[Unit sold Filled]]*Table6[[#This Row],[Unit Cost]])</f>
        <v>35717.85000000002</v>
      </c>
    </row>
    <row r="260" spans="1:12" x14ac:dyDescent="0.3">
      <c r="A260" s="15" t="s">
        <v>287</v>
      </c>
      <c r="B260" s="17" t="s">
        <v>17</v>
      </c>
      <c r="C260" s="15" t="s">
        <v>50</v>
      </c>
      <c r="D260" t="s">
        <v>13</v>
      </c>
      <c r="E260" s="15" t="s">
        <v>14</v>
      </c>
      <c r="F260" s="15" t="s">
        <v>15</v>
      </c>
      <c r="G260" s="18">
        <v>45185</v>
      </c>
      <c r="H260" s="24">
        <v>245</v>
      </c>
      <c r="I260" s="23">
        <v>131.54</v>
      </c>
      <c r="J260" s="17">
        <v>201.82</v>
      </c>
      <c r="K260">
        <v>32227.3</v>
      </c>
      <c r="L260" s="22">
        <f>(Table6[[#This Row],[Unit sold Filled]]*Table6[[#This Row],[Unit Price Filled]])-(Table6[[#This Row],[Unit sold Filled]]*Table6[[#This Row],[Unit Cost]])</f>
        <v>-17218.600000000002</v>
      </c>
    </row>
    <row r="261" spans="1:12" x14ac:dyDescent="0.3">
      <c r="A261" s="1" t="s">
        <v>288</v>
      </c>
      <c r="B261" s="3" t="s">
        <v>11</v>
      </c>
      <c r="C261" s="1" t="s">
        <v>12</v>
      </c>
      <c r="D261" t="s">
        <v>27</v>
      </c>
      <c r="E261" s="1" t="s">
        <v>14</v>
      </c>
      <c r="F261" s="1" t="s">
        <v>15</v>
      </c>
      <c r="G261" s="2">
        <v>45186</v>
      </c>
      <c r="H261" s="24">
        <v>349</v>
      </c>
      <c r="I261" s="23">
        <v>154.52000000000001</v>
      </c>
      <c r="J261" s="3">
        <v>51.64</v>
      </c>
      <c r="K261">
        <v>53927.48</v>
      </c>
      <c r="L261" s="22">
        <f>(Table6[[#This Row],[Unit sold Filled]]*Table6[[#This Row],[Unit Price Filled]])-(Table6[[#This Row],[Unit sold Filled]]*Table6[[#This Row],[Unit Cost]])</f>
        <v>35905.120000000003</v>
      </c>
    </row>
    <row r="262" spans="1:12" x14ac:dyDescent="0.3">
      <c r="A262" s="15" t="s">
        <v>289</v>
      </c>
      <c r="B262" s="17" t="s">
        <v>22</v>
      </c>
      <c r="C262" s="15" t="s">
        <v>18</v>
      </c>
      <c r="D262" t="s">
        <v>19</v>
      </c>
      <c r="E262" s="15" t="s">
        <v>24</v>
      </c>
      <c r="F262" s="15" t="s">
        <v>28</v>
      </c>
      <c r="G262" s="18">
        <v>45187</v>
      </c>
      <c r="H262" s="24">
        <v>237</v>
      </c>
      <c r="I262" s="23">
        <v>249.64520588235297</v>
      </c>
      <c r="J262" s="17">
        <v>155.38</v>
      </c>
      <c r="K262">
        <v>59165.913794117652</v>
      </c>
      <c r="L262" s="22">
        <f>(Table6[[#This Row],[Unit sold Filled]]*Table6[[#This Row],[Unit Price Filled]])-(Table6[[#This Row],[Unit sold Filled]]*Table6[[#This Row],[Unit Cost]])</f>
        <v>22340.853794117655</v>
      </c>
    </row>
    <row r="263" spans="1:12" x14ac:dyDescent="0.3">
      <c r="A263" s="1" t="s">
        <v>290</v>
      </c>
      <c r="B263" s="3" t="s">
        <v>48</v>
      </c>
      <c r="C263" s="1" t="s">
        <v>50</v>
      </c>
      <c r="D263" t="s">
        <v>27</v>
      </c>
      <c r="E263" s="1" t="s">
        <v>24</v>
      </c>
      <c r="F263" s="1" t="s">
        <v>15</v>
      </c>
      <c r="G263" s="2">
        <v>45188</v>
      </c>
      <c r="H263" s="24">
        <v>18</v>
      </c>
      <c r="I263" s="23">
        <v>426.33</v>
      </c>
      <c r="J263" s="3">
        <v>258.06</v>
      </c>
      <c r="K263">
        <v>7673.94</v>
      </c>
      <c r="L263" s="22">
        <f>(Table6[[#This Row],[Unit sold Filled]]*Table6[[#This Row],[Unit Price Filled]])-(Table6[[#This Row],[Unit sold Filled]]*Table6[[#This Row],[Unit Cost]])</f>
        <v>3028.8599999999997</v>
      </c>
    </row>
    <row r="264" spans="1:12" x14ac:dyDescent="0.3">
      <c r="A264" s="15" t="s">
        <v>291</v>
      </c>
      <c r="B264" s="17" t="s">
        <v>22</v>
      </c>
      <c r="C264" s="15" t="s">
        <v>50</v>
      </c>
      <c r="D264" t="s">
        <v>42</v>
      </c>
      <c r="E264" s="15" t="s">
        <v>24</v>
      </c>
      <c r="F264" s="15" t="s">
        <v>20</v>
      </c>
      <c r="G264" s="18">
        <v>45189</v>
      </c>
      <c r="H264" s="24">
        <v>175</v>
      </c>
      <c r="I264" s="23">
        <v>337.36</v>
      </c>
      <c r="J264" s="17">
        <v>312.60000000000002</v>
      </c>
      <c r="K264">
        <v>59038</v>
      </c>
      <c r="L264" s="22">
        <f>(Table6[[#This Row],[Unit sold Filled]]*Table6[[#This Row],[Unit Price Filled]])-(Table6[[#This Row],[Unit sold Filled]]*Table6[[#This Row],[Unit Cost]])</f>
        <v>4332.9999999999927</v>
      </c>
    </row>
    <row r="265" spans="1:12" x14ac:dyDescent="0.3">
      <c r="A265" s="1" t="s">
        <v>292</v>
      </c>
      <c r="B265" s="3" t="s">
        <v>22</v>
      </c>
      <c r="C265" s="1" t="s">
        <v>18</v>
      </c>
      <c r="D265" t="s">
        <v>389</v>
      </c>
      <c r="E265" s="1" t="s">
        <v>14</v>
      </c>
      <c r="F265" s="1" t="s">
        <v>15</v>
      </c>
      <c r="G265" s="2">
        <v>45190</v>
      </c>
      <c r="H265" s="24">
        <v>441</v>
      </c>
      <c r="I265" s="23">
        <v>405.72</v>
      </c>
      <c r="J265" s="3">
        <v>88.45</v>
      </c>
      <c r="K265">
        <v>178922.52000000002</v>
      </c>
      <c r="L265" s="22">
        <f>(Table6[[#This Row],[Unit sold Filled]]*Table6[[#This Row],[Unit Price Filled]])-(Table6[[#This Row],[Unit sold Filled]]*Table6[[#This Row],[Unit Cost]])</f>
        <v>139916.07</v>
      </c>
    </row>
    <row r="266" spans="1:12" x14ac:dyDescent="0.3">
      <c r="A266" s="15" t="s">
        <v>293</v>
      </c>
      <c r="B266" s="17" t="s">
        <v>11</v>
      </c>
      <c r="C266" s="15" t="s">
        <v>12</v>
      </c>
      <c r="D266" t="s">
        <v>23</v>
      </c>
      <c r="E266" s="15" t="s">
        <v>24</v>
      </c>
      <c r="F266" s="15" t="s">
        <v>28</v>
      </c>
      <c r="G266" s="18">
        <v>45191</v>
      </c>
      <c r="H266" s="24">
        <v>453</v>
      </c>
      <c r="I266" s="23">
        <v>384.49</v>
      </c>
      <c r="J266" s="17">
        <v>56.85</v>
      </c>
      <c r="K266">
        <v>174173.97</v>
      </c>
      <c r="L266" s="22">
        <f>(Table6[[#This Row],[Unit sold Filled]]*Table6[[#This Row],[Unit Price Filled]])-(Table6[[#This Row],[Unit sold Filled]]*Table6[[#This Row],[Unit Cost]])</f>
        <v>148420.92000000001</v>
      </c>
    </row>
    <row r="267" spans="1:12" x14ac:dyDescent="0.3">
      <c r="A267" s="1" t="s">
        <v>294</v>
      </c>
      <c r="B267" s="3" t="s">
        <v>48</v>
      </c>
      <c r="C267" s="1" t="s">
        <v>26</v>
      </c>
      <c r="D267" t="s">
        <v>27</v>
      </c>
      <c r="E267" s="1" t="s">
        <v>14</v>
      </c>
      <c r="F267" s="1" t="s">
        <v>28</v>
      </c>
      <c r="G267" s="2">
        <v>45192</v>
      </c>
      <c r="H267" s="24">
        <v>328</v>
      </c>
      <c r="I267" s="23">
        <v>79.099999999999994</v>
      </c>
      <c r="J267" s="3">
        <v>265.89</v>
      </c>
      <c r="K267">
        <v>25944.799999999999</v>
      </c>
      <c r="L267" s="22">
        <f>(Table6[[#This Row],[Unit sold Filled]]*Table6[[#This Row],[Unit Price Filled]])-(Table6[[#This Row],[Unit sold Filled]]*Table6[[#This Row],[Unit Cost]])</f>
        <v>-61267.119999999995</v>
      </c>
    </row>
    <row r="268" spans="1:12" x14ac:dyDescent="0.3">
      <c r="A268" s="15" t="s">
        <v>295</v>
      </c>
      <c r="B268" s="17" t="s">
        <v>17</v>
      </c>
      <c r="C268" s="15" t="s">
        <v>50</v>
      </c>
      <c r="D268" t="s">
        <v>42</v>
      </c>
      <c r="E268" s="15" t="s">
        <v>24</v>
      </c>
      <c r="F268" s="15" t="s">
        <v>28</v>
      </c>
      <c r="G268" s="18">
        <v>45193</v>
      </c>
      <c r="H268" s="24">
        <v>223</v>
      </c>
      <c r="I268" s="23">
        <v>214.85</v>
      </c>
      <c r="J268" s="17">
        <v>2.75</v>
      </c>
      <c r="K268">
        <v>47911.549999999996</v>
      </c>
      <c r="L268" s="22">
        <f>(Table6[[#This Row],[Unit sold Filled]]*Table6[[#This Row],[Unit Price Filled]])-(Table6[[#This Row],[Unit sold Filled]]*Table6[[#This Row],[Unit Cost]])</f>
        <v>47298.299999999996</v>
      </c>
    </row>
    <row r="269" spans="1:12" x14ac:dyDescent="0.3">
      <c r="A269" s="1" t="s">
        <v>296</v>
      </c>
      <c r="B269" s="3" t="s">
        <v>17</v>
      </c>
      <c r="C269" s="1" t="s">
        <v>18</v>
      </c>
      <c r="D269" t="s">
        <v>13</v>
      </c>
      <c r="E269" s="1" t="s">
        <v>14</v>
      </c>
      <c r="F269" s="1" t="s">
        <v>28</v>
      </c>
      <c r="G269" s="2">
        <v>45194</v>
      </c>
      <c r="H269" s="24">
        <v>126</v>
      </c>
      <c r="I269" s="23">
        <v>80.73</v>
      </c>
      <c r="J269" s="3">
        <v>72.989999999999995</v>
      </c>
      <c r="K269">
        <v>10171.980000000001</v>
      </c>
      <c r="L269" s="22">
        <f>(Table6[[#This Row],[Unit sold Filled]]*Table6[[#This Row],[Unit Price Filled]])-(Table6[[#This Row],[Unit sold Filled]]*Table6[[#This Row],[Unit Cost]])</f>
        <v>975.2400000000016</v>
      </c>
    </row>
    <row r="270" spans="1:12" x14ac:dyDescent="0.3">
      <c r="A270" s="15" t="s">
        <v>297</v>
      </c>
      <c r="B270" s="17" t="s">
        <v>11</v>
      </c>
      <c r="C270" s="15" t="s">
        <v>31</v>
      </c>
      <c r="D270" t="s">
        <v>19</v>
      </c>
      <c r="E270" s="15" t="s">
        <v>14</v>
      </c>
      <c r="F270" s="15" t="s">
        <v>28</v>
      </c>
      <c r="G270" s="18">
        <v>45195</v>
      </c>
      <c r="H270" s="24">
        <v>395</v>
      </c>
      <c r="I270" s="23">
        <v>121.44</v>
      </c>
      <c r="J270" s="17">
        <v>13.57</v>
      </c>
      <c r="K270">
        <v>47968.799999999996</v>
      </c>
      <c r="L270" s="22">
        <f>(Table6[[#This Row],[Unit sold Filled]]*Table6[[#This Row],[Unit Price Filled]])-(Table6[[#This Row],[Unit sold Filled]]*Table6[[#This Row],[Unit Cost]])</f>
        <v>42608.649999999994</v>
      </c>
    </row>
    <row r="271" spans="1:12" x14ac:dyDescent="0.3">
      <c r="A271" s="1" t="s">
        <v>298</v>
      </c>
      <c r="B271" s="3" t="s">
        <v>11</v>
      </c>
      <c r="C271" s="1" t="s">
        <v>18</v>
      </c>
      <c r="D271" t="s">
        <v>27</v>
      </c>
      <c r="E271" s="1" t="s">
        <v>24</v>
      </c>
      <c r="F271" s="1" t="s">
        <v>15</v>
      </c>
      <c r="G271" s="2">
        <v>45196</v>
      </c>
      <c r="H271" s="24">
        <v>353</v>
      </c>
      <c r="I271" s="23">
        <v>435.28</v>
      </c>
      <c r="J271" s="3">
        <v>68.42</v>
      </c>
      <c r="K271">
        <v>153653.84</v>
      </c>
      <c r="L271" s="22">
        <f>(Table6[[#This Row],[Unit sold Filled]]*Table6[[#This Row],[Unit Price Filled]])-(Table6[[#This Row],[Unit sold Filled]]*Table6[[#This Row],[Unit Cost]])</f>
        <v>129501.57999999999</v>
      </c>
    </row>
    <row r="272" spans="1:12" x14ac:dyDescent="0.3">
      <c r="A272" s="15" t="s">
        <v>299</v>
      </c>
      <c r="B272" s="17" t="s">
        <v>48</v>
      </c>
      <c r="C272" s="15" t="s">
        <v>31</v>
      </c>
      <c r="D272" t="s">
        <v>27</v>
      </c>
      <c r="E272" s="15" t="s">
        <v>24</v>
      </c>
      <c r="F272" s="15" t="s">
        <v>15</v>
      </c>
      <c r="G272" s="18">
        <v>45197</v>
      </c>
      <c r="H272" s="24">
        <v>81</v>
      </c>
      <c r="I272" s="23">
        <v>239.08</v>
      </c>
      <c r="J272" s="17">
        <v>74.17</v>
      </c>
      <c r="K272">
        <v>19365.48</v>
      </c>
      <c r="L272" s="22">
        <f>(Table6[[#This Row],[Unit sold Filled]]*Table6[[#This Row],[Unit Price Filled]])-(Table6[[#This Row],[Unit sold Filled]]*Table6[[#This Row],[Unit Cost]])</f>
        <v>13357.71</v>
      </c>
    </row>
    <row r="273" spans="1:12" x14ac:dyDescent="0.3">
      <c r="A273" s="1" t="s">
        <v>300</v>
      </c>
      <c r="B273" s="3" t="s">
        <v>17</v>
      </c>
      <c r="C273" s="1" t="s">
        <v>12</v>
      </c>
      <c r="D273" t="s">
        <v>23</v>
      </c>
      <c r="E273" s="1" t="s">
        <v>24</v>
      </c>
      <c r="F273" s="1" t="s">
        <v>15</v>
      </c>
      <c r="G273" s="2">
        <v>45198</v>
      </c>
      <c r="H273" s="24">
        <v>404</v>
      </c>
      <c r="I273" s="23">
        <v>270</v>
      </c>
      <c r="J273" s="3">
        <v>156.29</v>
      </c>
      <c r="K273">
        <v>109080</v>
      </c>
      <c r="L273" s="22">
        <f>(Table6[[#This Row],[Unit sold Filled]]*Table6[[#This Row],[Unit Price Filled]])-(Table6[[#This Row],[Unit sold Filled]]*Table6[[#This Row],[Unit Cost]])</f>
        <v>45938.840000000004</v>
      </c>
    </row>
    <row r="274" spans="1:12" x14ac:dyDescent="0.3">
      <c r="A274" s="15" t="s">
        <v>301</v>
      </c>
      <c r="B274" s="17" t="s">
        <v>17</v>
      </c>
      <c r="C274" s="15" t="s">
        <v>26</v>
      </c>
      <c r="D274" t="s">
        <v>23</v>
      </c>
      <c r="E274" s="15" t="s">
        <v>24</v>
      </c>
      <c r="F274" s="15" t="s">
        <v>15</v>
      </c>
      <c r="G274" s="18">
        <v>45199</v>
      </c>
      <c r="H274" s="24">
        <v>73</v>
      </c>
      <c r="I274" s="23">
        <v>93.33</v>
      </c>
      <c r="J274" s="17">
        <v>162.13</v>
      </c>
      <c r="K274">
        <v>6813.09</v>
      </c>
      <c r="L274" s="22">
        <f>(Table6[[#This Row],[Unit sold Filled]]*Table6[[#This Row],[Unit Price Filled]])-(Table6[[#This Row],[Unit sold Filled]]*Table6[[#This Row],[Unit Cost]])</f>
        <v>-5022.3999999999996</v>
      </c>
    </row>
    <row r="275" spans="1:12" x14ac:dyDescent="0.3">
      <c r="A275" s="1" t="s">
        <v>302</v>
      </c>
      <c r="B275" s="3" t="s">
        <v>17</v>
      </c>
      <c r="C275" s="1" t="s">
        <v>18</v>
      </c>
      <c r="D275" t="s">
        <v>13</v>
      </c>
      <c r="E275" s="1" t="s">
        <v>14</v>
      </c>
      <c r="F275" s="1" t="s">
        <v>28</v>
      </c>
      <c r="G275" s="2">
        <v>45200</v>
      </c>
      <c r="H275" s="24">
        <v>214</v>
      </c>
      <c r="I275" s="23">
        <v>159.57</v>
      </c>
      <c r="J275" s="3">
        <v>349.96</v>
      </c>
      <c r="K275">
        <v>34147.979999999996</v>
      </c>
      <c r="L275" s="22">
        <f>(Table6[[#This Row],[Unit sold Filled]]*Table6[[#This Row],[Unit Price Filled]])-(Table6[[#This Row],[Unit sold Filled]]*Table6[[#This Row],[Unit Cost]])</f>
        <v>-40743.460000000006</v>
      </c>
    </row>
    <row r="276" spans="1:12" x14ac:dyDescent="0.3">
      <c r="A276" s="15" t="s">
        <v>303</v>
      </c>
      <c r="B276" s="17" t="s">
        <v>22</v>
      </c>
      <c r="C276" s="15" t="s">
        <v>50</v>
      </c>
      <c r="D276" t="s">
        <v>13</v>
      </c>
      <c r="E276" s="15" t="s">
        <v>24</v>
      </c>
      <c r="F276" s="15" t="s">
        <v>20</v>
      </c>
      <c r="G276" s="18">
        <v>45201</v>
      </c>
      <c r="H276" s="24">
        <v>218</v>
      </c>
      <c r="I276" s="23">
        <v>118.97</v>
      </c>
      <c r="J276" s="17">
        <v>205.02</v>
      </c>
      <c r="K276">
        <v>25935.46</v>
      </c>
      <c r="L276" s="22">
        <f>(Table6[[#This Row],[Unit sold Filled]]*Table6[[#This Row],[Unit Price Filled]])-(Table6[[#This Row],[Unit sold Filled]]*Table6[[#This Row],[Unit Cost]])</f>
        <v>-18758.900000000001</v>
      </c>
    </row>
    <row r="277" spans="1:12" x14ac:dyDescent="0.3">
      <c r="A277" s="1" t="s">
        <v>304</v>
      </c>
      <c r="B277" s="3" t="s">
        <v>17</v>
      </c>
      <c r="C277" s="1" t="s">
        <v>12</v>
      </c>
      <c r="D277" t="s">
        <v>42</v>
      </c>
      <c r="E277" s="1" t="s">
        <v>24</v>
      </c>
      <c r="F277" s="1" t="s">
        <v>15</v>
      </c>
      <c r="G277" s="2">
        <v>45202</v>
      </c>
      <c r="H277" s="24">
        <v>81</v>
      </c>
      <c r="I277" s="23">
        <v>107.06</v>
      </c>
      <c r="J277" s="3">
        <v>289.92</v>
      </c>
      <c r="K277">
        <v>8671.86</v>
      </c>
      <c r="L277" s="22">
        <f>(Table6[[#This Row],[Unit sold Filled]]*Table6[[#This Row],[Unit Price Filled]])-(Table6[[#This Row],[Unit sold Filled]]*Table6[[#This Row],[Unit Cost]])</f>
        <v>-14811.66</v>
      </c>
    </row>
    <row r="278" spans="1:12" x14ac:dyDescent="0.3">
      <c r="A278" s="15" t="s">
        <v>305</v>
      </c>
      <c r="B278" s="17" t="s">
        <v>22</v>
      </c>
      <c r="C278" s="15" t="s">
        <v>18</v>
      </c>
      <c r="D278" t="s">
        <v>42</v>
      </c>
      <c r="E278" s="15" t="s">
        <v>24</v>
      </c>
      <c r="F278" s="15" t="s">
        <v>20</v>
      </c>
      <c r="G278" s="18">
        <v>45203</v>
      </c>
      <c r="H278" s="24">
        <v>286</v>
      </c>
      <c r="I278" s="23">
        <v>320.79000000000002</v>
      </c>
      <c r="J278" s="17">
        <v>43.45</v>
      </c>
      <c r="K278">
        <v>91745.94</v>
      </c>
      <c r="L278" s="22">
        <f>(Table6[[#This Row],[Unit sold Filled]]*Table6[[#This Row],[Unit Price Filled]])-(Table6[[#This Row],[Unit sold Filled]]*Table6[[#This Row],[Unit Cost]])</f>
        <v>79319.240000000005</v>
      </c>
    </row>
    <row r="279" spans="1:12" x14ac:dyDescent="0.3">
      <c r="A279" s="1" t="s">
        <v>306</v>
      </c>
      <c r="B279" s="3" t="s">
        <v>48</v>
      </c>
      <c r="C279" s="1" t="s">
        <v>50</v>
      </c>
      <c r="D279" t="s">
        <v>13</v>
      </c>
      <c r="E279" s="1" t="s">
        <v>14</v>
      </c>
      <c r="F279" s="1" t="s">
        <v>15</v>
      </c>
      <c r="G279" s="2">
        <v>45204</v>
      </c>
      <c r="H279" s="24">
        <v>283</v>
      </c>
      <c r="I279" s="23">
        <v>132.16</v>
      </c>
      <c r="J279" s="3">
        <v>91.72</v>
      </c>
      <c r="K279">
        <v>37401.279999999999</v>
      </c>
      <c r="L279" s="22">
        <f>(Table6[[#This Row],[Unit sold Filled]]*Table6[[#This Row],[Unit Price Filled]])-(Table6[[#This Row],[Unit sold Filled]]*Table6[[#This Row],[Unit Cost]])</f>
        <v>11444.52</v>
      </c>
    </row>
    <row r="280" spans="1:12" x14ac:dyDescent="0.3">
      <c r="A280" s="15" t="s">
        <v>307</v>
      </c>
      <c r="B280" s="17" t="s">
        <v>22</v>
      </c>
      <c r="C280" s="15" t="s">
        <v>18</v>
      </c>
      <c r="D280" t="s">
        <v>13</v>
      </c>
      <c r="E280" s="15" t="s">
        <v>14</v>
      </c>
      <c r="F280" s="15" t="s">
        <v>15</v>
      </c>
      <c r="G280" s="18">
        <v>45205</v>
      </c>
      <c r="H280" s="24">
        <v>487</v>
      </c>
      <c r="I280" s="23">
        <v>317.85000000000002</v>
      </c>
      <c r="J280" s="17">
        <v>281.77</v>
      </c>
      <c r="K280">
        <v>154792.95000000001</v>
      </c>
      <c r="L280" s="22">
        <f>(Table6[[#This Row],[Unit sold Filled]]*Table6[[#This Row],[Unit Price Filled]])-(Table6[[#This Row],[Unit sold Filled]]*Table6[[#This Row],[Unit Cost]])</f>
        <v>17570.960000000021</v>
      </c>
    </row>
    <row r="281" spans="1:12" x14ac:dyDescent="0.3">
      <c r="A281" s="1" t="s">
        <v>308</v>
      </c>
      <c r="B281" s="3" t="s">
        <v>48</v>
      </c>
      <c r="C281" s="1" t="s">
        <v>31</v>
      </c>
      <c r="D281" t="s">
        <v>19</v>
      </c>
      <c r="E281" s="1" t="s">
        <v>24</v>
      </c>
      <c r="F281" s="1" t="s">
        <v>20</v>
      </c>
      <c r="G281" s="2">
        <v>45206</v>
      </c>
      <c r="H281" s="24">
        <v>329</v>
      </c>
      <c r="I281" s="23">
        <v>33.94</v>
      </c>
      <c r="J281" s="3">
        <v>23.02</v>
      </c>
      <c r="K281">
        <v>11166.259999999998</v>
      </c>
      <c r="L281" s="22">
        <f>(Table6[[#This Row],[Unit sold Filled]]*Table6[[#This Row],[Unit Price Filled]])-(Table6[[#This Row],[Unit sold Filled]]*Table6[[#This Row],[Unit Cost]])</f>
        <v>3592.6799999999985</v>
      </c>
    </row>
    <row r="282" spans="1:12" x14ac:dyDescent="0.3">
      <c r="A282" s="15" t="s">
        <v>309</v>
      </c>
      <c r="B282" s="17" t="s">
        <v>17</v>
      </c>
      <c r="C282" s="15" t="s">
        <v>18</v>
      </c>
      <c r="D282" t="s">
        <v>23</v>
      </c>
      <c r="E282" s="15" t="s">
        <v>14</v>
      </c>
      <c r="F282" s="15" t="s">
        <v>28</v>
      </c>
      <c r="G282" s="18">
        <v>45207</v>
      </c>
      <c r="H282" s="24">
        <v>347</v>
      </c>
      <c r="I282" s="23">
        <v>75.180000000000007</v>
      </c>
      <c r="J282" s="17">
        <v>195.67</v>
      </c>
      <c r="K282">
        <v>26087.460000000003</v>
      </c>
      <c r="L282" s="22">
        <f>(Table6[[#This Row],[Unit sold Filled]]*Table6[[#This Row],[Unit Price Filled]])-(Table6[[#This Row],[Unit sold Filled]]*Table6[[#This Row],[Unit Cost]])</f>
        <v>-41810.029999999984</v>
      </c>
    </row>
    <row r="283" spans="1:12" x14ac:dyDescent="0.3">
      <c r="A283" s="1" t="s">
        <v>310</v>
      </c>
      <c r="B283" s="3" t="s">
        <v>17</v>
      </c>
      <c r="C283" s="1" t="s">
        <v>18</v>
      </c>
      <c r="D283" t="s">
        <v>42</v>
      </c>
      <c r="E283" s="1" t="s">
        <v>24</v>
      </c>
      <c r="F283" s="1" t="s">
        <v>15</v>
      </c>
      <c r="G283" s="2">
        <v>45208</v>
      </c>
      <c r="H283" s="24">
        <v>375</v>
      </c>
      <c r="I283" s="23">
        <v>140.9</v>
      </c>
      <c r="J283" s="3">
        <v>240.55</v>
      </c>
      <c r="K283">
        <v>52837.5</v>
      </c>
      <c r="L283" s="22">
        <f>(Table6[[#This Row],[Unit sold Filled]]*Table6[[#This Row],[Unit Price Filled]])-(Table6[[#This Row],[Unit sold Filled]]*Table6[[#This Row],[Unit Cost]])</f>
        <v>-37368.75</v>
      </c>
    </row>
    <row r="284" spans="1:12" x14ac:dyDescent="0.3">
      <c r="A284" s="15" t="s">
        <v>311</v>
      </c>
      <c r="B284" s="17" t="s">
        <v>48</v>
      </c>
      <c r="C284" s="15" t="s">
        <v>18</v>
      </c>
      <c r="D284" t="s">
        <v>23</v>
      </c>
      <c r="E284" s="15" t="s">
        <v>14</v>
      </c>
      <c r="F284" s="15" t="s">
        <v>15</v>
      </c>
      <c r="G284" s="18">
        <v>45209</v>
      </c>
      <c r="H284" s="24">
        <v>104</v>
      </c>
      <c r="I284" s="23">
        <v>300.54000000000002</v>
      </c>
      <c r="J284" s="17">
        <v>241.65</v>
      </c>
      <c r="K284">
        <v>31256.160000000003</v>
      </c>
      <c r="L284" s="22">
        <f>(Table6[[#This Row],[Unit sold Filled]]*Table6[[#This Row],[Unit Price Filled]])-(Table6[[#This Row],[Unit sold Filled]]*Table6[[#This Row],[Unit Cost]])</f>
        <v>6124.5600000000013</v>
      </c>
    </row>
    <row r="285" spans="1:12" x14ac:dyDescent="0.3">
      <c r="A285" s="1" t="s">
        <v>312</v>
      </c>
      <c r="B285" s="3" t="s">
        <v>11</v>
      </c>
      <c r="C285" s="1" t="s">
        <v>12</v>
      </c>
      <c r="D285" t="s">
        <v>389</v>
      </c>
      <c r="E285" s="1" t="s">
        <v>14</v>
      </c>
      <c r="F285" s="1" t="s">
        <v>15</v>
      </c>
      <c r="G285" s="2">
        <v>45210</v>
      </c>
      <c r="H285" s="24">
        <v>175</v>
      </c>
      <c r="I285" s="23">
        <v>339.54</v>
      </c>
      <c r="J285" s="3">
        <v>11.13</v>
      </c>
      <c r="K285">
        <v>59419.5</v>
      </c>
      <c r="L285" s="22">
        <f>(Table6[[#This Row],[Unit sold Filled]]*Table6[[#This Row],[Unit Price Filled]])-(Table6[[#This Row],[Unit sold Filled]]*Table6[[#This Row],[Unit Cost]])</f>
        <v>57471.75</v>
      </c>
    </row>
    <row r="286" spans="1:12" x14ac:dyDescent="0.3">
      <c r="A286" s="15" t="s">
        <v>313</v>
      </c>
      <c r="B286" s="17" t="s">
        <v>48</v>
      </c>
      <c r="C286" s="15" t="s">
        <v>18</v>
      </c>
      <c r="D286" t="s">
        <v>13</v>
      </c>
      <c r="E286" s="15" t="s">
        <v>14</v>
      </c>
      <c r="F286" s="15" t="s">
        <v>20</v>
      </c>
      <c r="G286" s="18">
        <v>45211</v>
      </c>
      <c r="H286" s="24">
        <v>41</v>
      </c>
      <c r="I286" s="23">
        <v>224.14</v>
      </c>
      <c r="J286" s="17">
        <v>130.19999999999999</v>
      </c>
      <c r="K286">
        <v>9189.74</v>
      </c>
      <c r="L286" s="22">
        <f>(Table6[[#This Row],[Unit sold Filled]]*Table6[[#This Row],[Unit Price Filled]])-(Table6[[#This Row],[Unit sold Filled]]*Table6[[#This Row],[Unit Cost]])</f>
        <v>3851.54</v>
      </c>
    </row>
    <row r="287" spans="1:12" x14ac:dyDescent="0.3">
      <c r="A287" s="1" t="s">
        <v>314</v>
      </c>
      <c r="B287" s="3" t="s">
        <v>11</v>
      </c>
      <c r="C287" s="1" t="s">
        <v>50</v>
      </c>
      <c r="D287" t="s">
        <v>19</v>
      </c>
      <c r="E287" s="1" t="s">
        <v>14</v>
      </c>
      <c r="F287" s="1" t="s">
        <v>28</v>
      </c>
      <c r="G287" s="2">
        <v>45212</v>
      </c>
      <c r="H287" s="24">
        <v>20</v>
      </c>
      <c r="I287" s="23">
        <v>225.67</v>
      </c>
      <c r="J287" s="3">
        <v>255.32</v>
      </c>
      <c r="K287">
        <v>4513.3999999999996</v>
      </c>
      <c r="L287" s="22">
        <f>(Table6[[#This Row],[Unit sold Filled]]*Table6[[#This Row],[Unit Price Filled]])-(Table6[[#This Row],[Unit sold Filled]]*Table6[[#This Row],[Unit Cost]])</f>
        <v>-593</v>
      </c>
    </row>
    <row r="288" spans="1:12" x14ac:dyDescent="0.3">
      <c r="A288" s="15" t="s">
        <v>315</v>
      </c>
      <c r="B288" s="17" t="s">
        <v>22</v>
      </c>
      <c r="C288" s="15" t="s">
        <v>31</v>
      </c>
      <c r="D288" t="s">
        <v>27</v>
      </c>
      <c r="E288" s="15" t="s">
        <v>24</v>
      </c>
      <c r="F288" s="15" t="s">
        <v>20</v>
      </c>
      <c r="G288" s="18">
        <v>45213</v>
      </c>
      <c r="H288" s="24">
        <v>310</v>
      </c>
      <c r="I288" s="23">
        <v>363.64</v>
      </c>
      <c r="J288" s="17">
        <v>61.3</v>
      </c>
      <c r="K288">
        <v>112728.4</v>
      </c>
      <c r="L288" s="22">
        <f>(Table6[[#This Row],[Unit sold Filled]]*Table6[[#This Row],[Unit Price Filled]])-(Table6[[#This Row],[Unit sold Filled]]*Table6[[#This Row],[Unit Cost]])</f>
        <v>93725.4</v>
      </c>
    </row>
    <row r="289" spans="1:12" x14ac:dyDescent="0.3">
      <c r="A289" s="1" t="s">
        <v>316</v>
      </c>
      <c r="B289" s="3" t="s">
        <v>22</v>
      </c>
      <c r="C289" s="1" t="s">
        <v>31</v>
      </c>
      <c r="D289" t="s">
        <v>19</v>
      </c>
      <c r="E289" s="1" t="s">
        <v>24</v>
      </c>
      <c r="F289" s="1" t="s">
        <v>20</v>
      </c>
      <c r="G289" s="2">
        <v>45214</v>
      </c>
      <c r="H289" s="24">
        <v>226</v>
      </c>
      <c r="I289" s="23">
        <v>249.64520588235297</v>
      </c>
      <c r="J289" s="3">
        <v>278.77999999999997</v>
      </c>
      <c r="K289">
        <v>56419.816529411772</v>
      </c>
      <c r="L289" s="22">
        <f>(Table6[[#This Row],[Unit sold Filled]]*Table6[[#This Row],[Unit Price Filled]])-(Table6[[#This Row],[Unit sold Filled]]*Table6[[#This Row],[Unit Cost]])</f>
        <v>-6584.4634705882199</v>
      </c>
    </row>
    <row r="290" spans="1:12" x14ac:dyDescent="0.3">
      <c r="A290" s="15" t="s">
        <v>317</v>
      </c>
      <c r="B290" s="17" t="s">
        <v>22</v>
      </c>
      <c r="C290" s="15" t="s">
        <v>18</v>
      </c>
      <c r="D290" t="s">
        <v>19</v>
      </c>
      <c r="E290" s="15" t="s">
        <v>24</v>
      </c>
      <c r="F290" s="15" t="s">
        <v>28</v>
      </c>
      <c r="G290" s="18">
        <v>45215</v>
      </c>
      <c r="H290" s="24">
        <v>255.90294117647059</v>
      </c>
      <c r="I290" s="23">
        <v>173.84</v>
      </c>
      <c r="J290" s="17">
        <v>298.88</v>
      </c>
      <c r="K290">
        <v>44486.167294117651</v>
      </c>
      <c r="L290" s="22">
        <f>(Table6[[#This Row],[Unit sold Filled]]*Table6[[#This Row],[Unit Price Filled]])-(Table6[[#This Row],[Unit sold Filled]]*Table6[[#This Row],[Unit Cost]])</f>
        <v>-31998.103764705884</v>
      </c>
    </row>
    <row r="291" spans="1:12" x14ac:dyDescent="0.3">
      <c r="A291" s="1" t="s">
        <v>318</v>
      </c>
      <c r="B291" s="3" t="s">
        <v>17</v>
      </c>
      <c r="C291" s="1" t="s">
        <v>12</v>
      </c>
      <c r="D291" t="s">
        <v>23</v>
      </c>
      <c r="E291" s="1" t="s">
        <v>14</v>
      </c>
      <c r="F291" s="1" t="s">
        <v>20</v>
      </c>
      <c r="G291" s="2">
        <v>45216</v>
      </c>
      <c r="H291" s="24">
        <v>111</v>
      </c>
      <c r="I291" s="23">
        <v>410.26</v>
      </c>
      <c r="J291" s="3">
        <v>392.82</v>
      </c>
      <c r="K291">
        <v>45538.86</v>
      </c>
      <c r="L291" s="22">
        <f>(Table6[[#This Row],[Unit sold Filled]]*Table6[[#This Row],[Unit Price Filled]])-(Table6[[#This Row],[Unit sold Filled]]*Table6[[#This Row],[Unit Cost]])</f>
        <v>1935.8400000000038</v>
      </c>
    </row>
    <row r="292" spans="1:12" x14ac:dyDescent="0.3">
      <c r="A292" s="15" t="s">
        <v>319</v>
      </c>
      <c r="B292" s="17" t="s">
        <v>22</v>
      </c>
      <c r="C292" s="15" t="s">
        <v>12</v>
      </c>
      <c r="D292" t="s">
        <v>19</v>
      </c>
      <c r="E292" s="15" t="s">
        <v>24</v>
      </c>
      <c r="F292" s="15" t="s">
        <v>28</v>
      </c>
      <c r="G292" s="18">
        <v>45217</v>
      </c>
      <c r="H292" s="24">
        <v>434</v>
      </c>
      <c r="I292" s="23">
        <v>303.58999999999997</v>
      </c>
      <c r="J292" s="17">
        <v>85.52</v>
      </c>
      <c r="K292">
        <v>131758.06</v>
      </c>
      <c r="L292" s="22">
        <f>(Table6[[#This Row],[Unit sold Filled]]*Table6[[#This Row],[Unit Price Filled]])-(Table6[[#This Row],[Unit sold Filled]]*Table6[[#This Row],[Unit Cost]])</f>
        <v>94642.38</v>
      </c>
    </row>
    <row r="293" spans="1:12" x14ac:dyDescent="0.3">
      <c r="A293" s="1" t="s">
        <v>320</v>
      </c>
      <c r="B293" s="3" t="s">
        <v>11</v>
      </c>
      <c r="C293" s="1" t="s">
        <v>50</v>
      </c>
      <c r="D293" t="s">
        <v>42</v>
      </c>
      <c r="E293" s="1" t="s">
        <v>24</v>
      </c>
      <c r="F293" s="1" t="s">
        <v>15</v>
      </c>
      <c r="G293" s="2">
        <v>45218</v>
      </c>
      <c r="H293" s="24">
        <v>401</v>
      </c>
      <c r="I293" s="23">
        <v>171.93</v>
      </c>
      <c r="J293" s="3">
        <v>330.4</v>
      </c>
      <c r="K293">
        <v>68943.930000000008</v>
      </c>
      <c r="L293" s="22">
        <f>(Table6[[#This Row],[Unit sold Filled]]*Table6[[#This Row],[Unit Price Filled]])-(Table6[[#This Row],[Unit sold Filled]]*Table6[[#This Row],[Unit Cost]])</f>
        <v>-63546.469999999987</v>
      </c>
    </row>
    <row r="294" spans="1:12" x14ac:dyDescent="0.3">
      <c r="A294" s="15" t="s">
        <v>321</v>
      </c>
      <c r="B294" s="17" t="s">
        <v>22</v>
      </c>
      <c r="C294" s="15" t="s">
        <v>18</v>
      </c>
      <c r="D294" t="s">
        <v>23</v>
      </c>
      <c r="E294" s="15" t="s">
        <v>24</v>
      </c>
      <c r="F294" s="15" t="s">
        <v>28</v>
      </c>
      <c r="G294" s="18">
        <v>45219</v>
      </c>
      <c r="H294" s="24">
        <v>276</v>
      </c>
      <c r="I294" s="23">
        <v>453.23</v>
      </c>
      <c r="J294" s="17">
        <v>209.08</v>
      </c>
      <c r="K294">
        <v>125091.48000000001</v>
      </c>
      <c r="L294" s="22">
        <f>(Table6[[#This Row],[Unit sold Filled]]*Table6[[#This Row],[Unit Price Filled]])-(Table6[[#This Row],[Unit sold Filled]]*Table6[[#This Row],[Unit Cost]])</f>
        <v>67385.400000000009</v>
      </c>
    </row>
    <row r="295" spans="1:12" x14ac:dyDescent="0.3">
      <c r="A295" s="1" t="s">
        <v>322</v>
      </c>
      <c r="B295" s="3" t="s">
        <v>48</v>
      </c>
      <c r="C295" s="1" t="s">
        <v>31</v>
      </c>
      <c r="D295" t="s">
        <v>42</v>
      </c>
      <c r="E295" s="1" t="s">
        <v>14</v>
      </c>
      <c r="F295" s="1" t="s">
        <v>15</v>
      </c>
      <c r="G295" s="2">
        <v>45220</v>
      </c>
      <c r="H295" s="24">
        <v>255.90294117647059</v>
      </c>
      <c r="I295" s="23">
        <v>387.45</v>
      </c>
      <c r="J295" s="3">
        <v>150.63999999999999</v>
      </c>
      <c r="K295">
        <v>99149.594558823534</v>
      </c>
      <c r="L295" s="22">
        <f>(Table6[[#This Row],[Unit sold Filled]]*Table6[[#This Row],[Unit Price Filled]])-(Table6[[#This Row],[Unit sold Filled]]*Table6[[#This Row],[Unit Cost]])</f>
        <v>60600.375500000009</v>
      </c>
    </row>
    <row r="296" spans="1:12" x14ac:dyDescent="0.3">
      <c r="A296" s="15" t="s">
        <v>323</v>
      </c>
      <c r="B296" s="17" t="s">
        <v>48</v>
      </c>
      <c r="C296" s="15" t="s">
        <v>12</v>
      </c>
      <c r="D296" t="s">
        <v>27</v>
      </c>
      <c r="E296" s="15" t="s">
        <v>14</v>
      </c>
      <c r="F296" s="15" t="s">
        <v>20</v>
      </c>
      <c r="G296" s="18">
        <v>45221</v>
      </c>
      <c r="H296" s="24">
        <v>188</v>
      </c>
      <c r="I296" s="23">
        <v>136.12</v>
      </c>
      <c r="J296" s="17">
        <v>50.71</v>
      </c>
      <c r="K296">
        <v>25590.560000000001</v>
      </c>
      <c r="L296" s="22">
        <f>(Table6[[#This Row],[Unit sold Filled]]*Table6[[#This Row],[Unit Price Filled]])-(Table6[[#This Row],[Unit sold Filled]]*Table6[[#This Row],[Unit Cost]])</f>
        <v>16057.080000000002</v>
      </c>
    </row>
    <row r="297" spans="1:12" x14ac:dyDescent="0.3">
      <c r="A297" s="1" t="s">
        <v>324</v>
      </c>
      <c r="B297" s="3" t="s">
        <v>17</v>
      </c>
      <c r="C297" s="1" t="s">
        <v>18</v>
      </c>
      <c r="D297" t="s">
        <v>23</v>
      </c>
      <c r="E297" s="1" t="s">
        <v>14</v>
      </c>
      <c r="F297" s="1" t="s">
        <v>20</v>
      </c>
      <c r="G297" s="2">
        <v>45222</v>
      </c>
      <c r="H297" s="24">
        <v>97</v>
      </c>
      <c r="I297" s="23">
        <v>324.42</v>
      </c>
      <c r="J297" s="3">
        <v>294.73</v>
      </c>
      <c r="K297">
        <v>31468.74</v>
      </c>
      <c r="L297" s="22">
        <f>(Table6[[#This Row],[Unit sold Filled]]*Table6[[#This Row],[Unit Price Filled]])-(Table6[[#This Row],[Unit sold Filled]]*Table6[[#This Row],[Unit Cost]])</f>
        <v>2879.9300000000003</v>
      </c>
    </row>
    <row r="298" spans="1:12" x14ac:dyDescent="0.3">
      <c r="A298" s="15" t="s">
        <v>325</v>
      </c>
      <c r="B298" s="17" t="s">
        <v>48</v>
      </c>
      <c r="C298" s="15" t="s">
        <v>12</v>
      </c>
      <c r="D298" t="s">
        <v>27</v>
      </c>
      <c r="E298" s="15" t="s">
        <v>24</v>
      </c>
      <c r="F298" s="15" t="s">
        <v>15</v>
      </c>
      <c r="G298" s="18">
        <v>45223</v>
      </c>
      <c r="H298" s="24">
        <v>50</v>
      </c>
      <c r="I298" s="23">
        <v>299.89999999999998</v>
      </c>
      <c r="J298" s="17">
        <v>95.87</v>
      </c>
      <c r="K298">
        <v>14994.999999999998</v>
      </c>
      <c r="L298" s="22">
        <f>(Table6[[#This Row],[Unit sold Filled]]*Table6[[#This Row],[Unit Price Filled]])-(Table6[[#This Row],[Unit sold Filled]]*Table6[[#This Row],[Unit Cost]])</f>
        <v>10201.499999999998</v>
      </c>
    </row>
    <row r="299" spans="1:12" x14ac:dyDescent="0.3">
      <c r="A299" s="1" t="s">
        <v>326</v>
      </c>
      <c r="B299" s="3" t="s">
        <v>11</v>
      </c>
      <c r="C299" s="1" t="s">
        <v>12</v>
      </c>
      <c r="D299" t="s">
        <v>23</v>
      </c>
      <c r="E299" s="1" t="s">
        <v>24</v>
      </c>
      <c r="F299" s="1" t="s">
        <v>20</v>
      </c>
      <c r="G299" s="2">
        <v>45224</v>
      </c>
      <c r="H299" s="24">
        <v>410</v>
      </c>
      <c r="I299" s="23">
        <v>203.59</v>
      </c>
      <c r="J299" s="3">
        <v>149.83000000000001</v>
      </c>
      <c r="K299">
        <v>83471.899999999994</v>
      </c>
      <c r="L299" s="22">
        <f>(Table6[[#This Row],[Unit sold Filled]]*Table6[[#This Row],[Unit Price Filled]])-(Table6[[#This Row],[Unit sold Filled]]*Table6[[#This Row],[Unit Cost]])</f>
        <v>22041.599999999991</v>
      </c>
    </row>
    <row r="300" spans="1:12" x14ac:dyDescent="0.3">
      <c r="A300" s="15" t="s">
        <v>327</v>
      </c>
      <c r="B300" s="17" t="s">
        <v>22</v>
      </c>
      <c r="C300" s="15" t="s">
        <v>31</v>
      </c>
      <c r="D300" t="s">
        <v>13</v>
      </c>
      <c r="E300" s="15" t="s">
        <v>24</v>
      </c>
      <c r="F300" s="15" t="s">
        <v>28</v>
      </c>
      <c r="G300" s="18">
        <v>45225</v>
      </c>
      <c r="H300" s="24">
        <v>85</v>
      </c>
      <c r="I300" s="23">
        <v>186.64</v>
      </c>
      <c r="J300" s="17">
        <v>26.89</v>
      </c>
      <c r="K300">
        <v>15864.4</v>
      </c>
      <c r="L300" s="22">
        <f>(Table6[[#This Row],[Unit sold Filled]]*Table6[[#This Row],[Unit Price Filled]])-(Table6[[#This Row],[Unit sold Filled]]*Table6[[#This Row],[Unit Cost]])</f>
        <v>13578.75</v>
      </c>
    </row>
    <row r="301" spans="1:12" x14ac:dyDescent="0.3">
      <c r="A301" s="1" t="s">
        <v>328</v>
      </c>
      <c r="B301" s="3" t="s">
        <v>17</v>
      </c>
      <c r="C301" s="1" t="s">
        <v>26</v>
      </c>
      <c r="D301" t="s">
        <v>19</v>
      </c>
      <c r="E301" s="1" t="s">
        <v>14</v>
      </c>
      <c r="F301" s="1" t="s">
        <v>15</v>
      </c>
      <c r="G301" s="2">
        <v>45226</v>
      </c>
      <c r="H301" s="24">
        <v>386</v>
      </c>
      <c r="I301" s="23">
        <v>175.06</v>
      </c>
      <c r="J301" s="3">
        <v>320.94</v>
      </c>
      <c r="K301">
        <v>67573.16</v>
      </c>
      <c r="L301" s="22">
        <f>(Table6[[#This Row],[Unit sold Filled]]*Table6[[#This Row],[Unit Price Filled]])-(Table6[[#This Row],[Unit sold Filled]]*Table6[[#This Row],[Unit Cost]])</f>
        <v>-56309.679999999993</v>
      </c>
    </row>
    <row r="302" spans="1:12" x14ac:dyDescent="0.3">
      <c r="A302" s="15" t="s">
        <v>329</v>
      </c>
      <c r="B302" s="17" t="s">
        <v>22</v>
      </c>
      <c r="C302" s="15" t="s">
        <v>50</v>
      </c>
      <c r="D302" t="s">
        <v>13</v>
      </c>
      <c r="E302" s="15" t="s">
        <v>14</v>
      </c>
      <c r="F302" s="15" t="s">
        <v>20</v>
      </c>
      <c r="G302" s="18">
        <v>45227</v>
      </c>
      <c r="H302" s="24">
        <v>55</v>
      </c>
      <c r="I302" s="23">
        <v>310.49</v>
      </c>
      <c r="J302" s="17">
        <v>307.10000000000002</v>
      </c>
      <c r="K302">
        <v>17076.95</v>
      </c>
      <c r="L302" s="22">
        <f>(Table6[[#This Row],[Unit sold Filled]]*Table6[[#This Row],[Unit Price Filled]])-(Table6[[#This Row],[Unit sold Filled]]*Table6[[#This Row],[Unit Cost]])</f>
        <v>186.45000000000073</v>
      </c>
    </row>
    <row r="303" spans="1:12" x14ac:dyDescent="0.3">
      <c r="A303" s="1" t="s">
        <v>330</v>
      </c>
      <c r="B303" s="3" t="s">
        <v>22</v>
      </c>
      <c r="C303" s="1" t="s">
        <v>50</v>
      </c>
      <c r="D303" t="s">
        <v>27</v>
      </c>
      <c r="E303" s="1" t="s">
        <v>24</v>
      </c>
      <c r="F303" s="1" t="s">
        <v>15</v>
      </c>
      <c r="G303" s="2">
        <v>45228</v>
      </c>
      <c r="H303" s="24">
        <v>169</v>
      </c>
      <c r="I303" s="23">
        <v>223.99</v>
      </c>
      <c r="J303" s="3">
        <v>293.98</v>
      </c>
      <c r="K303">
        <v>37854.310000000005</v>
      </c>
      <c r="L303" s="22">
        <f>(Table6[[#This Row],[Unit sold Filled]]*Table6[[#This Row],[Unit Price Filled]])-(Table6[[#This Row],[Unit sold Filled]]*Table6[[#This Row],[Unit Cost]])</f>
        <v>-11828.309999999998</v>
      </c>
    </row>
    <row r="304" spans="1:12" x14ac:dyDescent="0.3">
      <c r="A304" s="15" t="s">
        <v>331</v>
      </c>
      <c r="B304" s="17" t="s">
        <v>11</v>
      </c>
      <c r="C304" s="15" t="s">
        <v>31</v>
      </c>
      <c r="D304" t="s">
        <v>19</v>
      </c>
      <c r="E304" s="15" t="s">
        <v>14</v>
      </c>
      <c r="F304" s="15" t="s">
        <v>28</v>
      </c>
      <c r="G304" s="18">
        <v>45229</v>
      </c>
      <c r="H304" s="24">
        <v>472</v>
      </c>
      <c r="I304" s="23">
        <v>416.77</v>
      </c>
      <c r="J304" s="17">
        <v>121.18</v>
      </c>
      <c r="K304">
        <v>196715.44</v>
      </c>
      <c r="L304" s="22">
        <f>(Table6[[#This Row],[Unit sold Filled]]*Table6[[#This Row],[Unit Price Filled]])-(Table6[[#This Row],[Unit sold Filled]]*Table6[[#This Row],[Unit Cost]])</f>
        <v>139518.47999999998</v>
      </c>
    </row>
    <row r="305" spans="1:12" x14ac:dyDescent="0.3">
      <c r="A305" s="1" t="s">
        <v>332</v>
      </c>
      <c r="B305" s="3" t="s">
        <v>48</v>
      </c>
      <c r="C305" s="1" t="s">
        <v>12</v>
      </c>
      <c r="D305" t="s">
        <v>23</v>
      </c>
      <c r="E305" s="1" t="s">
        <v>14</v>
      </c>
      <c r="F305" s="1" t="s">
        <v>28</v>
      </c>
      <c r="G305" s="2">
        <v>45230</v>
      </c>
      <c r="H305" s="24">
        <v>89</v>
      </c>
      <c r="I305" s="23">
        <v>336.45</v>
      </c>
      <c r="J305" s="3">
        <v>71.05</v>
      </c>
      <c r="K305">
        <v>29944.05</v>
      </c>
      <c r="L305" s="22">
        <f>(Table6[[#This Row],[Unit sold Filled]]*Table6[[#This Row],[Unit Price Filled]])-(Table6[[#This Row],[Unit sold Filled]]*Table6[[#This Row],[Unit Cost]])</f>
        <v>23620.6</v>
      </c>
    </row>
    <row r="306" spans="1:12" x14ac:dyDescent="0.3">
      <c r="A306" s="15" t="s">
        <v>333</v>
      </c>
      <c r="B306" s="17" t="s">
        <v>48</v>
      </c>
      <c r="C306" s="15" t="s">
        <v>18</v>
      </c>
      <c r="D306" t="s">
        <v>19</v>
      </c>
      <c r="E306" s="15" t="s">
        <v>14</v>
      </c>
      <c r="F306" s="15" t="s">
        <v>20</v>
      </c>
      <c r="G306" s="18">
        <v>45231</v>
      </c>
      <c r="H306" s="24">
        <v>319</v>
      </c>
      <c r="I306" s="23">
        <v>39.619999999999997</v>
      </c>
      <c r="J306" s="17">
        <v>255.75</v>
      </c>
      <c r="K306">
        <v>12638.779999999999</v>
      </c>
      <c r="L306" s="22">
        <f>(Table6[[#This Row],[Unit sold Filled]]*Table6[[#This Row],[Unit Price Filled]])-(Table6[[#This Row],[Unit sold Filled]]*Table6[[#This Row],[Unit Cost]])</f>
        <v>-68945.47</v>
      </c>
    </row>
    <row r="307" spans="1:12" x14ac:dyDescent="0.3">
      <c r="A307" s="1" t="s">
        <v>334</v>
      </c>
      <c r="B307" s="3" t="s">
        <v>22</v>
      </c>
      <c r="C307" s="1" t="s">
        <v>12</v>
      </c>
      <c r="D307" t="s">
        <v>389</v>
      </c>
      <c r="E307" s="1" t="s">
        <v>14</v>
      </c>
      <c r="F307" s="1" t="s">
        <v>28</v>
      </c>
      <c r="G307" s="2">
        <v>45232</v>
      </c>
      <c r="H307" s="24">
        <v>95</v>
      </c>
      <c r="I307" s="23">
        <v>321.88</v>
      </c>
      <c r="J307" s="3">
        <v>199.47</v>
      </c>
      <c r="K307">
        <v>30578.6</v>
      </c>
      <c r="L307" s="22">
        <f>(Table6[[#This Row],[Unit sold Filled]]*Table6[[#This Row],[Unit Price Filled]])-(Table6[[#This Row],[Unit sold Filled]]*Table6[[#This Row],[Unit Cost]])</f>
        <v>11628.949999999997</v>
      </c>
    </row>
    <row r="308" spans="1:12" x14ac:dyDescent="0.3">
      <c r="A308" s="15" t="s">
        <v>335</v>
      </c>
      <c r="B308" s="17" t="s">
        <v>17</v>
      </c>
      <c r="C308" s="15" t="s">
        <v>31</v>
      </c>
      <c r="D308" t="s">
        <v>389</v>
      </c>
      <c r="E308" s="15" t="s">
        <v>24</v>
      </c>
      <c r="F308" s="15" t="s">
        <v>15</v>
      </c>
      <c r="G308" s="18">
        <v>45233</v>
      </c>
      <c r="H308" s="24">
        <v>101</v>
      </c>
      <c r="I308" s="23">
        <v>139.22</v>
      </c>
      <c r="J308" s="17">
        <v>72.94</v>
      </c>
      <c r="K308">
        <v>14061.22</v>
      </c>
      <c r="L308" s="22">
        <f>(Table6[[#This Row],[Unit sold Filled]]*Table6[[#This Row],[Unit Price Filled]])-(Table6[[#This Row],[Unit sold Filled]]*Table6[[#This Row],[Unit Cost]])</f>
        <v>6694.28</v>
      </c>
    </row>
    <row r="309" spans="1:12" x14ac:dyDescent="0.3">
      <c r="A309" s="1" t="s">
        <v>336</v>
      </c>
      <c r="B309" s="3" t="s">
        <v>48</v>
      </c>
      <c r="C309" s="1" t="s">
        <v>50</v>
      </c>
      <c r="D309" t="s">
        <v>389</v>
      </c>
      <c r="E309" s="1" t="s">
        <v>14</v>
      </c>
      <c r="F309" s="1" t="s">
        <v>28</v>
      </c>
      <c r="G309" s="2">
        <v>45234</v>
      </c>
      <c r="H309" s="24">
        <v>157</v>
      </c>
      <c r="I309" s="23">
        <v>249.64520588235297</v>
      </c>
      <c r="J309" s="3">
        <v>274.99</v>
      </c>
      <c r="K309">
        <v>39194.297323529419</v>
      </c>
      <c r="L309" s="22">
        <f>(Table6[[#This Row],[Unit sold Filled]]*Table6[[#This Row],[Unit Price Filled]])-(Table6[[#This Row],[Unit sold Filled]]*Table6[[#This Row],[Unit Cost]])</f>
        <v>-3979.1326764705809</v>
      </c>
    </row>
    <row r="310" spans="1:12" x14ac:dyDescent="0.3">
      <c r="A310" s="15" t="s">
        <v>337</v>
      </c>
      <c r="B310" s="17" t="s">
        <v>17</v>
      </c>
      <c r="C310" s="15" t="s">
        <v>12</v>
      </c>
      <c r="D310" t="s">
        <v>19</v>
      </c>
      <c r="E310" s="15" t="s">
        <v>14</v>
      </c>
      <c r="F310" s="15" t="s">
        <v>15</v>
      </c>
      <c r="G310" s="18">
        <v>45235</v>
      </c>
      <c r="H310" s="24">
        <v>170</v>
      </c>
      <c r="I310" s="23">
        <v>341.67</v>
      </c>
      <c r="J310" s="17">
        <v>396.47</v>
      </c>
      <c r="K310">
        <v>58083.9</v>
      </c>
      <c r="L310" s="22">
        <f>(Table6[[#This Row],[Unit sold Filled]]*Table6[[#This Row],[Unit Price Filled]])-(Table6[[#This Row],[Unit sold Filled]]*Table6[[#This Row],[Unit Cost]])</f>
        <v>-9316.0000000000073</v>
      </c>
    </row>
    <row r="311" spans="1:12" x14ac:dyDescent="0.3">
      <c r="A311" s="1" t="s">
        <v>338</v>
      </c>
      <c r="B311" s="3" t="s">
        <v>48</v>
      </c>
      <c r="C311" s="1" t="s">
        <v>50</v>
      </c>
      <c r="D311" t="s">
        <v>42</v>
      </c>
      <c r="E311" s="1" t="s">
        <v>14</v>
      </c>
      <c r="F311" s="1" t="s">
        <v>15</v>
      </c>
      <c r="G311" s="2">
        <v>45236</v>
      </c>
      <c r="H311" s="24">
        <v>211</v>
      </c>
      <c r="I311" s="23">
        <v>119.26</v>
      </c>
      <c r="J311" s="3">
        <v>299.39</v>
      </c>
      <c r="K311">
        <v>25163.86</v>
      </c>
      <c r="L311" s="22">
        <f>(Table6[[#This Row],[Unit sold Filled]]*Table6[[#This Row],[Unit Price Filled]])-(Table6[[#This Row],[Unit sold Filled]]*Table6[[#This Row],[Unit Cost]])</f>
        <v>-38007.429999999993</v>
      </c>
    </row>
    <row r="312" spans="1:12" x14ac:dyDescent="0.3">
      <c r="A312" s="15" t="s">
        <v>339</v>
      </c>
      <c r="B312" s="17" t="s">
        <v>17</v>
      </c>
      <c r="C312" s="15" t="s">
        <v>18</v>
      </c>
      <c r="D312" t="s">
        <v>27</v>
      </c>
      <c r="E312" s="15" t="s">
        <v>14</v>
      </c>
      <c r="F312" s="15" t="s">
        <v>28</v>
      </c>
      <c r="G312" s="18">
        <v>45237</v>
      </c>
      <c r="H312" s="24">
        <v>433</v>
      </c>
      <c r="I312" s="23">
        <v>231.15</v>
      </c>
      <c r="J312" s="17">
        <v>296.51</v>
      </c>
      <c r="K312">
        <v>100087.95</v>
      </c>
      <c r="L312" s="22">
        <f>(Table6[[#This Row],[Unit sold Filled]]*Table6[[#This Row],[Unit Price Filled]])-(Table6[[#This Row],[Unit sold Filled]]*Table6[[#This Row],[Unit Cost]])</f>
        <v>-28300.880000000005</v>
      </c>
    </row>
    <row r="313" spans="1:12" x14ac:dyDescent="0.3">
      <c r="A313" s="1" t="s">
        <v>340</v>
      </c>
      <c r="B313" s="3" t="s">
        <v>11</v>
      </c>
      <c r="C313" s="1" t="s">
        <v>50</v>
      </c>
      <c r="D313" t="s">
        <v>13</v>
      </c>
      <c r="E313" s="1" t="s">
        <v>24</v>
      </c>
      <c r="F313" s="1" t="s">
        <v>20</v>
      </c>
      <c r="G313" s="2">
        <v>45238</v>
      </c>
      <c r="H313" s="24">
        <v>425</v>
      </c>
      <c r="I313" s="23">
        <v>99.21</v>
      </c>
      <c r="J313" s="3">
        <v>380.22</v>
      </c>
      <c r="K313">
        <v>42164.25</v>
      </c>
      <c r="L313" s="22">
        <f>(Table6[[#This Row],[Unit sold Filled]]*Table6[[#This Row],[Unit Price Filled]])-(Table6[[#This Row],[Unit sold Filled]]*Table6[[#This Row],[Unit Cost]])</f>
        <v>-119429.25</v>
      </c>
    </row>
    <row r="314" spans="1:12" x14ac:dyDescent="0.3">
      <c r="A314" s="15" t="s">
        <v>341</v>
      </c>
      <c r="B314" s="17" t="s">
        <v>17</v>
      </c>
      <c r="C314" s="15" t="s">
        <v>50</v>
      </c>
      <c r="D314" t="s">
        <v>23</v>
      </c>
      <c r="E314" s="15" t="s">
        <v>24</v>
      </c>
      <c r="F314" s="15" t="s">
        <v>28</v>
      </c>
      <c r="G314" s="18">
        <v>45239</v>
      </c>
      <c r="H314" s="24">
        <v>251</v>
      </c>
      <c r="I314" s="23">
        <v>30.91</v>
      </c>
      <c r="J314" s="17">
        <v>82.77</v>
      </c>
      <c r="K314">
        <v>7758.41</v>
      </c>
      <c r="L314" s="22">
        <f>(Table6[[#This Row],[Unit sold Filled]]*Table6[[#This Row],[Unit Price Filled]])-(Table6[[#This Row],[Unit sold Filled]]*Table6[[#This Row],[Unit Cost]])</f>
        <v>-13016.86</v>
      </c>
    </row>
    <row r="315" spans="1:12" x14ac:dyDescent="0.3">
      <c r="A315" s="1" t="s">
        <v>342</v>
      </c>
      <c r="B315" s="3" t="s">
        <v>11</v>
      </c>
      <c r="C315" s="1" t="s">
        <v>26</v>
      </c>
      <c r="D315" t="s">
        <v>19</v>
      </c>
      <c r="E315" s="1" t="s">
        <v>14</v>
      </c>
      <c r="F315" s="1" t="s">
        <v>15</v>
      </c>
      <c r="G315" s="2">
        <v>45240</v>
      </c>
      <c r="H315" s="24">
        <v>255.90294117647059</v>
      </c>
      <c r="I315" s="23">
        <v>192.35</v>
      </c>
      <c r="J315" s="3">
        <v>227.09</v>
      </c>
      <c r="K315">
        <v>49222.930735294118</v>
      </c>
      <c r="L315" s="22">
        <f>(Table6[[#This Row],[Unit sold Filled]]*Table6[[#This Row],[Unit Price Filled]])-(Table6[[#This Row],[Unit sold Filled]]*Table6[[#This Row],[Unit Cost]])</f>
        <v>-8890.0681764705878</v>
      </c>
    </row>
    <row r="316" spans="1:12" x14ac:dyDescent="0.3">
      <c r="A316" s="15" t="s">
        <v>343</v>
      </c>
      <c r="B316" s="17" t="s">
        <v>11</v>
      </c>
      <c r="C316" s="15" t="s">
        <v>26</v>
      </c>
      <c r="D316" t="s">
        <v>13</v>
      </c>
      <c r="E316" s="15" t="s">
        <v>14</v>
      </c>
      <c r="F316" s="15" t="s">
        <v>15</v>
      </c>
      <c r="G316" s="18">
        <v>45241</v>
      </c>
      <c r="H316" s="24">
        <v>11</v>
      </c>
      <c r="I316" s="23">
        <v>184.66</v>
      </c>
      <c r="J316" s="17">
        <v>391.9</v>
      </c>
      <c r="K316">
        <v>2031.26</v>
      </c>
      <c r="L316" s="22">
        <f>(Table6[[#This Row],[Unit sold Filled]]*Table6[[#This Row],[Unit Price Filled]])-(Table6[[#This Row],[Unit sold Filled]]*Table6[[#This Row],[Unit Cost]])</f>
        <v>-2279.6399999999994</v>
      </c>
    </row>
    <row r="317" spans="1:12" x14ac:dyDescent="0.3">
      <c r="A317" s="1" t="s">
        <v>344</v>
      </c>
      <c r="B317" s="3" t="s">
        <v>17</v>
      </c>
      <c r="C317" s="1" t="s">
        <v>26</v>
      </c>
      <c r="D317" t="s">
        <v>23</v>
      </c>
      <c r="E317" s="1" t="s">
        <v>14</v>
      </c>
      <c r="F317" s="1" t="s">
        <v>28</v>
      </c>
      <c r="G317" s="2">
        <v>45242</v>
      </c>
      <c r="H317" s="24">
        <v>234</v>
      </c>
      <c r="I317" s="23">
        <v>497.76</v>
      </c>
      <c r="J317" s="3">
        <v>67.790000000000006</v>
      </c>
      <c r="K317">
        <v>116475.84</v>
      </c>
      <c r="L317" s="22">
        <f>(Table6[[#This Row],[Unit sold Filled]]*Table6[[#This Row],[Unit Price Filled]])-(Table6[[#This Row],[Unit sold Filled]]*Table6[[#This Row],[Unit Cost]])</f>
        <v>100612.98</v>
      </c>
    </row>
    <row r="318" spans="1:12" x14ac:dyDescent="0.3">
      <c r="A318" s="15" t="s">
        <v>345</v>
      </c>
      <c r="B318" s="17" t="s">
        <v>11</v>
      </c>
      <c r="C318" s="15" t="s">
        <v>50</v>
      </c>
      <c r="D318" t="s">
        <v>23</v>
      </c>
      <c r="E318" s="15" t="s">
        <v>14</v>
      </c>
      <c r="F318" s="15" t="s">
        <v>20</v>
      </c>
      <c r="G318" s="18">
        <v>45243</v>
      </c>
      <c r="H318" s="24">
        <v>255.90294117647059</v>
      </c>
      <c r="I318" s="23">
        <v>225.94</v>
      </c>
      <c r="J318" s="17">
        <v>280.7</v>
      </c>
      <c r="K318">
        <v>57818.710529411765</v>
      </c>
      <c r="L318" s="22">
        <f>(Table6[[#This Row],[Unit sold Filled]]*Table6[[#This Row],[Unit Price Filled]])-(Table6[[#This Row],[Unit sold Filled]]*Table6[[#This Row],[Unit Cost]])</f>
        <v>-14013.245058823522</v>
      </c>
    </row>
    <row r="319" spans="1:12" x14ac:dyDescent="0.3">
      <c r="A319" s="1" t="s">
        <v>346</v>
      </c>
      <c r="B319" s="3" t="s">
        <v>22</v>
      </c>
      <c r="C319" s="1" t="s">
        <v>31</v>
      </c>
      <c r="D319" t="s">
        <v>42</v>
      </c>
      <c r="E319" s="1" t="s">
        <v>14</v>
      </c>
      <c r="F319" s="1" t="s">
        <v>20</v>
      </c>
      <c r="G319" s="2">
        <v>45244</v>
      </c>
      <c r="H319" s="24">
        <v>242</v>
      </c>
      <c r="I319" s="23">
        <v>170.12</v>
      </c>
      <c r="J319" s="3">
        <v>235.15</v>
      </c>
      <c r="K319">
        <v>41169.040000000001</v>
      </c>
      <c r="L319" s="22">
        <f>(Table6[[#This Row],[Unit sold Filled]]*Table6[[#This Row],[Unit Price Filled]])-(Table6[[#This Row],[Unit sold Filled]]*Table6[[#This Row],[Unit Cost]])</f>
        <v>-15737.260000000002</v>
      </c>
    </row>
    <row r="320" spans="1:12" x14ac:dyDescent="0.3">
      <c r="A320" s="15" t="s">
        <v>347</v>
      </c>
      <c r="B320" s="17" t="s">
        <v>11</v>
      </c>
      <c r="C320" s="15" t="s">
        <v>50</v>
      </c>
      <c r="D320" t="s">
        <v>27</v>
      </c>
      <c r="E320" s="15" t="s">
        <v>14</v>
      </c>
      <c r="F320" s="15" t="s">
        <v>15</v>
      </c>
      <c r="G320" s="18">
        <v>45245</v>
      </c>
      <c r="H320" s="24">
        <v>470</v>
      </c>
      <c r="I320" s="23">
        <v>292.33999999999997</v>
      </c>
      <c r="J320" s="17">
        <v>235.42</v>
      </c>
      <c r="K320">
        <v>137399.79999999999</v>
      </c>
      <c r="L320" s="22">
        <f>(Table6[[#This Row],[Unit sold Filled]]*Table6[[#This Row],[Unit Price Filled]])-(Table6[[#This Row],[Unit sold Filled]]*Table6[[#This Row],[Unit Cost]])</f>
        <v>26752.399999999994</v>
      </c>
    </row>
    <row r="321" spans="1:12" x14ac:dyDescent="0.3">
      <c r="A321" s="1" t="s">
        <v>348</v>
      </c>
      <c r="B321" s="3" t="s">
        <v>48</v>
      </c>
      <c r="C321" s="1" t="s">
        <v>31</v>
      </c>
      <c r="D321" t="s">
        <v>27</v>
      </c>
      <c r="E321" s="1" t="s">
        <v>24</v>
      </c>
      <c r="F321" s="1" t="s">
        <v>15</v>
      </c>
      <c r="G321" s="2">
        <v>45246</v>
      </c>
      <c r="H321" s="24">
        <v>423</v>
      </c>
      <c r="I321" s="23">
        <v>48.94</v>
      </c>
      <c r="J321" s="3">
        <v>279.67</v>
      </c>
      <c r="K321">
        <v>20701.62</v>
      </c>
      <c r="L321" s="22">
        <f>(Table6[[#This Row],[Unit sold Filled]]*Table6[[#This Row],[Unit Price Filled]])-(Table6[[#This Row],[Unit sold Filled]]*Table6[[#This Row],[Unit Cost]])</f>
        <v>-97598.790000000008</v>
      </c>
    </row>
    <row r="322" spans="1:12" x14ac:dyDescent="0.3">
      <c r="A322" s="15" t="s">
        <v>349</v>
      </c>
      <c r="B322" s="17" t="s">
        <v>17</v>
      </c>
      <c r="C322" s="15" t="s">
        <v>31</v>
      </c>
      <c r="D322" t="s">
        <v>13</v>
      </c>
      <c r="E322" s="15" t="s">
        <v>14</v>
      </c>
      <c r="F322" s="15" t="s">
        <v>20</v>
      </c>
      <c r="G322" s="18">
        <v>45247</v>
      </c>
      <c r="H322" s="24">
        <v>426</v>
      </c>
      <c r="I322" s="23">
        <v>481.02</v>
      </c>
      <c r="J322" s="17">
        <v>371.99</v>
      </c>
      <c r="K322">
        <v>204914.52</v>
      </c>
      <c r="L322" s="22">
        <f>(Table6[[#This Row],[Unit sold Filled]]*Table6[[#This Row],[Unit Price Filled]])-(Table6[[#This Row],[Unit sold Filled]]*Table6[[#This Row],[Unit Cost]])</f>
        <v>46446.78</v>
      </c>
    </row>
    <row r="323" spans="1:12" x14ac:dyDescent="0.3">
      <c r="A323" s="1" t="s">
        <v>350</v>
      </c>
      <c r="B323" s="3" t="s">
        <v>22</v>
      </c>
      <c r="C323" s="1" t="s">
        <v>26</v>
      </c>
      <c r="D323" t="s">
        <v>27</v>
      </c>
      <c r="E323" s="1" t="s">
        <v>24</v>
      </c>
      <c r="F323" s="1" t="s">
        <v>28</v>
      </c>
      <c r="G323" s="2">
        <v>45248</v>
      </c>
      <c r="H323" s="24">
        <v>86</v>
      </c>
      <c r="I323" s="23">
        <v>319.31</v>
      </c>
      <c r="J323" s="3">
        <v>313.47000000000003</v>
      </c>
      <c r="K323">
        <v>27460.66</v>
      </c>
      <c r="L323" s="22">
        <f>(Table6[[#This Row],[Unit sold Filled]]*Table6[[#This Row],[Unit Price Filled]])-(Table6[[#This Row],[Unit sold Filled]]*Table6[[#This Row],[Unit Cost]])</f>
        <v>502.23999999999796</v>
      </c>
    </row>
    <row r="324" spans="1:12" x14ac:dyDescent="0.3">
      <c r="A324" s="15" t="s">
        <v>351</v>
      </c>
      <c r="B324" s="17" t="s">
        <v>17</v>
      </c>
      <c r="C324" s="15" t="s">
        <v>12</v>
      </c>
      <c r="D324" t="s">
        <v>19</v>
      </c>
      <c r="E324" s="15" t="s">
        <v>24</v>
      </c>
      <c r="F324" s="15" t="s">
        <v>15</v>
      </c>
      <c r="G324" s="18">
        <v>45249</v>
      </c>
      <c r="H324" s="24">
        <v>125</v>
      </c>
      <c r="I324" s="23">
        <v>378.64</v>
      </c>
      <c r="J324" s="17">
        <v>24.34</v>
      </c>
      <c r="K324">
        <v>47330</v>
      </c>
      <c r="L324" s="22">
        <f>(Table6[[#This Row],[Unit sold Filled]]*Table6[[#This Row],[Unit Price Filled]])-(Table6[[#This Row],[Unit sold Filled]]*Table6[[#This Row],[Unit Cost]])</f>
        <v>44287.5</v>
      </c>
    </row>
    <row r="325" spans="1:12" x14ac:dyDescent="0.3">
      <c r="A325" s="1" t="s">
        <v>352</v>
      </c>
      <c r="B325" s="3" t="s">
        <v>48</v>
      </c>
      <c r="C325" s="1" t="s">
        <v>18</v>
      </c>
      <c r="D325" t="s">
        <v>389</v>
      </c>
      <c r="E325" s="1" t="s">
        <v>14</v>
      </c>
      <c r="F325" s="1" t="s">
        <v>15</v>
      </c>
      <c r="G325" s="2">
        <v>45250</v>
      </c>
      <c r="H325" s="24">
        <v>163</v>
      </c>
      <c r="I325" s="23">
        <v>89.39</v>
      </c>
      <c r="J325" s="3">
        <v>341.39</v>
      </c>
      <c r="K325">
        <v>14570.57</v>
      </c>
      <c r="L325" s="22">
        <f>(Table6[[#This Row],[Unit sold Filled]]*Table6[[#This Row],[Unit Price Filled]])-(Table6[[#This Row],[Unit sold Filled]]*Table6[[#This Row],[Unit Cost]])</f>
        <v>-41076</v>
      </c>
    </row>
    <row r="326" spans="1:12" x14ac:dyDescent="0.3">
      <c r="A326" s="15" t="s">
        <v>353</v>
      </c>
      <c r="B326" s="17" t="s">
        <v>48</v>
      </c>
      <c r="C326" s="15" t="s">
        <v>26</v>
      </c>
      <c r="D326" t="s">
        <v>13</v>
      </c>
      <c r="E326" s="15" t="s">
        <v>24</v>
      </c>
      <c r="F326" s="15" t="s">
        <v>20</v>
      </c>
      <c r="G326" s="18">
        <v>45251</v>
      </c>
      <c r="H326" s="24">
        <v>415</v>
      </c>
      <c r="I326" s="23">
        <v>207.69</v>
      </c>
      <c r="J326" s="17">
        <v>91.77</v>
      </c>
      <c r="K326">
        <v>86191.35</v>
      </c>
      <c r="L326" s="22">
        <f>(Table6[[#This Row],[Unit sold Filled]]*Table6[[#This Row],[Unit Price Filled]])-(Table6[[#This Row],[Unit sold Filled]]*Table6[[#This Row],[Unit Cost]])</f>
        <v>48106.80000000001</v>
      </c>
    </row>
    <row r="327" spans="1:12" x14ac:dyDescent="0.3">
      <c r="A327" s="1" t="s">
        <v>354</v>
      </c>
      <c r="B327" s="3" t="s">
        <v>48</v>
      </c>
      <c r="C327" s="1" t="s">
        <v>26</v>
      </c>
      <c r="D327" t="s">
        <v>27</v>
      </c>
      <c r="E327" s="1" t="s">
        <v>24</v>
      </c>
      <c r="F327" s="1" t="s">
        <v>28</v>
      </c>
      <c r="G327" s="2">
        <v>45252</v>
      </c>
      <c r="H327" s="24">
        <v>112</v>
      </c>
      <c r="I327" s="23">
        <v>214.23</v>
      </c>
      <c r="J327" s="3">
        <v>152.01</v>
      </c>
      <c r="K327">
        <v>23993.759999999998</v>
      </c>
      <c r="L327" s="22">
        <f>(Table6[[#This Row],[Unit sold Filled]]*Table6[[#This Row],[Unit Price Filled]])-(Table6[[#This Row],[Unit sold Filled]]*Table6[[#This Row],[Unit Cost]])</f>
        <v>6968.6399999999994</v>
      </c>
    </row>
    <row r="328" spans="1:12" x14ac:dyDescent="0.3">
      <c r="A328" s="15" t="s">
        <v>355</v>
      </c>
      <c r="B328" s="17" t="s">
        <v>11</v>
      </c>
      <c r="C328" s="15" t="s">
        <v>12</v>
      </c>
      <c r="D328" t="s">
        <v>19</v>
      </c>
      <c r="E328" s="15" t="s">
        <v>24</v>
      </c>
      <c r="F328" s="15" t="s">
        <v>20</v>
      </c>
      <c r="G328" s="18">
        <v>45253</v>
      </c>
      <c r="H328" s="24">
        <v>203</v>
      </c>
      <c r="I328" s="23">
        <v>411.79</v>
      </c>
      <c r="J328" s="17">
        <v>185.77</v>
      </c>
      <c r="K328">
        <v>83593.37000000001</v>
      </c>
      <c r="L328" s="22">
        <f>(Table6[[#This Row],[Unit sold Filled]]*Table6[[#This Row],[Unit Price Filled]])-(Table6[[#This Row],[Unit sold Filled]]*Table6[[#This Row],[Unit Cost]])</f>
        <v>45882.060000000005</v>
      </c>
    </row>
    <row r="329" spans="1:12" x14ac:dyDescent="0.3">
      <c r="A329" s="1" t="s">
        <v>356</v>
      </c>
      <c r="B329" s="3" t="s">
        <v>11</v>
      </c>
      <c r="C329" s="1" t="s">
        <v>18</v>
      </c>
      <c r="D329" t="s">
        <v>42</v>
      </c>
      <c r="E329" s="1" t="s">
        <v>24</v>
      </c>
      <c r="F329" s="1" t="s">
        <v>28</v>
      </c>
      <c r="G329" s="2">
        <v>45254</v>
      </c>
      <c r="H329" s="24">
        <v>255.90294117647059</v>
      </c>
      <c r="I329" s="23">
        <v>5.61</v>
      </c>
      <c r="J329" s="3">
        <v>193.4</v>
      </c>
      <c r="K329">
        <v>1435.6155000000001</v>
      </c>
      <c r="L329" s="22">
        <f>(Table6[[#This Row],[Unit sold Filled]]*Table6[[#This Row],[Unit Price Filled]])-(Table6[[#This Row],[Unit sold Filled]]*Table6[[#This Row],[Unit Cost]])</f>
        <v>-48056.013323529412</v>
      </c>
    </row>
    <row r="330" spans="1:12" x14ac:dyDescent="0.3">
      <c r="A330" s="15" t="s">
        <v>357</v>
      </c>
      <c r="B330" s="17" t="s">
        <v>17</v>
      </c>
      <c r="C330" s="15" t="s">
        <v>50</v>
      </c>
      <c r="D330" t="s">
        <v>13</v>
      </c>
      <c r="E330" s="15" t="s">
        <v>24</v>
      </c>
      <c r="F330" s="15" t="s">
        <v>28</v>
      </c>
      <c r="G330" s="18">
        <v>45255</v>
      </c>
      <c r="H330" s="24">
        <v>368</v>
      </c>
      <c r="I330" s="23">
        <v>153.91999999999999</v>
      </c>
      <c r="J330" s="17">
        <v>175.2</v>
      </c>
      <c r="K330">
        <v>56642.559999999998</v>
      </c>
      <c r="L330" s="22">
        <f>(Table6[[#This Row],[Unit sold Filled]]*Table6[[#This Row],[Unit Price Filled]])-(Table6[[#This Row],[Unit sold Filled]]*Table6[[#This Row],[Unit Cost]])</f>
        <v>-7831.0400000000009</v>
      </c>
    </row>
    <row r="331" spans="1:12" x14ac:dyDescent="0.3">
      <c r="A331" s="1" t="s">
        <v>358</v>
      </c>
      <c r="B331" s="3" t="s">
        <v>17</v>
      </c>
      <c r="C331" s="1" t="s">
        <v>50</v>
      </c>
      <c r="D331" t="s">
        <v>42</v>
      </c>
      <c r="E331" s="1" t="s">
        <v>24</v>
      </c>
      <c r="F331" s="1" t="s">
        <v>28</v>
      </c>
      <c r="G331" s="2">
        <v>45256</v>
      </c>
      <c r="H331" s="24">
        <v>99</v>
      </c>
      <c r="I331" s="23">
        <v>490.71</v>
      </c>
      <c r="J331" s="3">
        <v>375.07</v>
      </c>
      <c r="K331">
        <v>48580.29</v>
      </c>
      <c r="L331" s="22">
        <f>(Table6[[#This Row],[Unit sold Filled]]*Table6[[#This Row],[Unit Price Filled]])-(Table6[[#This Row],[Unit sold Filled]]*Table6[[#This Row],[Unit Cost]])</f>
        <v>11448.36</v>
      </c>
    </row>
    <row r="332" spans="1:12" x14ac:dyDescent="0.3">
      <c r="A332" s="15" t="s">
        <v>359</v>
      </c>
      <c r="B332" s="17" t="s">
        <v>22</v>
      </c>
      <c r="C332" s="15" t="s">
        <v>26</v>
      </c>
      <c r="D332" t="s">
        <v>42</v>
      </c>
      <c r="E332" s="15" t="s">
        <v>14</v>
      </c>
      <c r="F332" s="15" t="s">
        <v>15</v>
      </c>
      <c r="G332" s="18">
        <v>45257</v>
      </c>
      <c r="H332" s="24">
        <v>183</v>
      </c>
      <c r="I332" s="23">
        <v>240.07</v>
      </c>
      <c r="J332" s="17">
        <v>283</v>
      </c>
      <c r="K332">
        <v>43932.81</v>
      </c>
      <c r="L332" s="22">
        <f>(Table6[[#This Row],[Unit sold Filled]]*Table6[[#This Row],[Unit Price Filled]])-(Table6[[#This Row],[Unit sold Filled]]*Table6[[#This Row],[Unit Cost]])</f>
        <v>-7856.1900000000023</v>
      </c>
    </row>
    <row r="333" spans="1:12" x14ac:dyDescent="0.3">
      <c r="A333" s="1" t="s">
        <v>360</v>
      </c>
      <c r="B333" s="3" t="s">
        <v>17</v>
      </c>
      <c r="C333" s="1" t="s">
        <v>18</v>
      </c>
      <c r="D333" t="s">
        <v>42</v>
      </c>
      <c r="E333" s="1" t="s">
        <v>24</v>
      </c>
      <c r="F333" s="1" t="s">
        <v>20</v>
      </c>
      <c r="G333" s="2">
        <v>45258</v>
      </c>
      <c r="H333" s="24">
        <v>131</v>
      </c>
      <c r="I333" s="23">
        <v>194.35</v>
      </c>
      <c r="J333" s="3">
        <v>253.21</v>
      </c>
      <c r="K333">
        <v>25459.85</v>
      </c>
      <c r="L333" s="22">
        <f>(Table6[[#This Row],[Unit sold Filled]]*Table6[[#This Row],[Unit Price Filled]])-(Table6[[#This Row],[Unit sold Filled]]*Table6[[#This Row],[Unit Cost]])</f>
        <v>-7710.6600000000035</v>
      </c>
    </row>
    <row r="334" spans="1:12" x14ac:dyDescent="0.3">
      <c r="A334" s="15" t="s">
        <v>361</v>
      </c>
      <c r="B334" s="17" t="s">
        <v>17</v>
      </c>
      <c r="C334" s="15" t="s">
        <v>26</v>
      </c>
      <c r="D334" t="s">
        <v>23</v>
      </c>
      <c r="E334" s="15" t="s">
        <v>24</v>
      </c>
      <c r="F334" s="15" t="s">
        <v>20</v>
      </c>
      <c r="G334" s="18">
        <v>45259</v>
      </c>
      <c r="H334" s="24">
        <v>152</v>
      </c>
      <c r="I334" s="23">
        <v>64.319999999999993</v>
      </c>
      <c r="J334" s="17">
        <v>21.84</v>
      </c>
      <c r="K334">
        <v>9776.64</v>
      </c>
      <c r="L334" s="22">
        <f>(Table6[[#This Row],[Unit sold Filled]]*Table6[[#This Row],[Unit Price Filled]])-(Table6[[#This Row],[Unit sold Filled]]*Table6[[#This Row],[Unit Cost]])</f>
        <v>6456.9599999999991</v>
      </c>
    </row>
    <row r="335" spans="1:12" x14ac:dyDescent="0.3">
      <c r="A335" s="1" t="s">
        <v>362</v>
      </c>
      <c r="B335" s="3" t="s">
        <v>11</v>
      </c>
      <c r="C335" s="1" t="s">
        <v>31</v>
      </c>
      <c r="D335" t="s">
        <v>23</v>
      </c>
      <c r="E335" s="1" t="s">
        <v>24</v>
      </c>
      <c r="F335" s="1" t="s">
        <v>28</v>
      </c>
      <c r="G335" s="2">
        <v>45260</v>
      </c>
      <c r="H335" s="24">
        <v>491</v>
      </c>
      <c r="I335" s="23">
        <v>487.21</v>
      </c>
      <c r="J335" s="3">
        <v>361.76</v>
      </c>
      <c r="K335">
        <v>239220.11</v>
      </c>
      <c r="L335" s="22">
        <f>(Table6[[#This Row],[Unit sold Filled]]*Table6[[#This Row],[Unit Price Filled]])-(Table6[[#This Row],[Unit sold Filled]]*Table6[[#This Row],[Unit Cost]])</f>
        <v>61595.949999999983</v>
      </c>
    </row>
    <row r="336" spans="1:12" x14ac:dyDescent="0.3">
      <c r="A336" s="15" t="s">
        <v>363</v>
      </c>
      <c r="B336" s="17" t="s">
        <v>48</v>
      </c>
      <c r="C336" s="15" t="s">
        <v>26</v>
      </c>
      <c r="D336" t="s">
        <v>42</v>
      </c>
      <c r="E336" s="15" t="s">
        <v>14</v>
      </c>
      <c r="F336" s="15" t="s">
        <v>15</v>
      </c>
      <c r="G336" s="18">
        <v>45261</v>
      </c>
      <c r="H336" s="24">
        <v>115</v>
      </c>
      <c r="I336" s="23">
        <v>14.91</v>
      </c>
      <c r="J336" s="17">
        <v>363.94</v>
      </c>
      <c r="K336">
        <v>1714.65</v>
      </c>
      <c r="L336" s="22">
        <f>(Table6[[#This Row],[Unit sold Filled]]*Table6[[#This Row],[Unit Price Filled]])-(Table6[[#This Row],[Unit sold Filled]]*Table6[[#This Row],[Unit Cost]])</f>
        <v>-40138.449999999997</v>
      </c>
    </row>
    <row r="337" spans="1:12" x14ac:dyDescent="0.3">
      <c r="A337" s="1" t="s">
        <v>364</v>
      </c>
      <c r="B337" s="3" t="s">
        <v>17</v>
      </c>
      <c r="C337" s="1" t="s">
        <v>26</v>
      </c>
      <c r="D337" t="s">
        <v>13</v>
      </c>
      <c r="E337" s="1" t="s">
        <v>24</v>
      </c>
      <c r="F337" s="1" t="s">
        <v>15</v>
      </c>
      <c r="G337" s="2">
        <v>45262</v>
      </c>
      <c r="H337" s="24">
        <v>384</v>
      </c>
      <c r="I337" s="23">
        <v>369.9</v>
      </c>
      <c r="J337" s="3">
        <v>312.52</v>
      </c>
      <c r="K337">
        <v>142041.59999999998</v>
      </c>
      <c r="L337" s="22">
        <f>(Table6[[#This Row],[Unit sold Filled]]*Table6[[#This Row],[Unit Price Filled]])-(Table6[[#This Row],[Unit sold Filled]]*Table6[[#This Row],[Unit Cost]])</f>
        <v>22033.919999999984</v>
      </c>
    </row>
    <row r="338" spans="1:12" x14ac:dyDescent="0.3">
      <c r="A338" s="15" t="s">
        <v>365</v>
      </c>
      <c r="B338" s="17" t="s">
        <v>22</v>
      </c>
      <c r="C338" s="15" t="s">
        <v>50</v>
      </c>
      <c r="D338" t="s">
        <v>19</v>
      </c>
      <c r="E338" s="15" t="s">
        <v>14</v>
      </c>
      <c r="F338" s="15" t="s">
        <v>20</v>
      </c>
      <c r="G338" s="18">
        <v>45263</v>
      </c>
      <c r="H338" s="24">
        <v>437</v>
      </c>
      <c r="I338" s="23">
        <v>385.46</v>
      </c>
      <c r="J338" s="17">
        <v>4.8</v>
      </c>
      <c r="K338">
        <v>168446.02</v>
      </c>
      <c r="L338" s="22">
        <f>(Table6[[#This Row],[Unit sold Filled]]*Table6[[#This Row],[Unit Price Filled]])-(Table6[[#This Row],[Unit sold Filled]]*Table6[[#This Row],[Unit Cost]])</f>
        <v>166348.41999999998</v>
      </c>
    </row>
    <row r="339" spans="1:12" x14ac:dyDescent="0.3">
      <c r="A339" s="1" t="s">
        <v>366</v>
      </c>
      <c r="B339" s="3" t="s">
        <v>11</v>
      </c>
      <c r="C339" s="1" t="s">
        <v>50</v>
      </c>
      <c r="D339" t="s">
        <v>19</v>
      </c>
      <c r="E339" s="1" t="s">
        <v>24</v>
      </c>
      <c r="F339" s="1" t="s">
        <v>15</v>
      </c>
      <c r="G339" s="2">
        <v>45264</v>
      </c>
      <c r="H339" s="24">
        <v>314</v>
      </c>
      <c r="I339" s="23">
        <v>125.61</v>
      </c>
      <c r="J339" s="3">
        <v>24.8</v>
      </c>
      <c r="K339">
        <v>39441.54</v>
      </c>
      <c r="L339" s="22">
        <f>(Table6[[#This Row],[Unit sold Filled]]*Table6[[#This Row],[Unit Price Filled]])-(Table6[[#This Row],[Unit sold Filled]]*Table6[[#This Row],[Unit Cost]])</f>
        <v>31654.34</v>
      </c>
    </row>
    <row r="340" spans="1:12" x14ac:dyDescent="0.3">
      <c r="A340" s="15" t="s">
        <v>367</v>
      </c>
      <c r="B340" s="17" t="s">
        <v>17</v>
      </c>
      <c r="C340" s="15" t="s">
        <v>50</v>
      </c>
      <c r="D340" t="s">
        <v>27</v>
      </c>
      <c r="E340" s="15" t="s">
        <v>14</v>
      </c>
      <c r="F340" s="15" t="s">
        <v>15</v>
      </c>
      <c r="G340" s="18">
        <v>45265</v>
      </c>
      <c r="H340" s="24">
        <v>369</v>
      </c>
      <c r="I340" s="23">
        <v>337.42</v>
      </c>
      <c r="J340" s="17">
        <v>91.64</v>
      </c>
      <c r="K340">
        <v>124507.98000000001</v>
      </c>
      <c r="L340" s="22">
        <f>(Table6[[#This Row],[Unit sold Filled]]*Table6[[#This Row],[Unit Price Filled]])-(Table6[[#This Row],[Unit sold Filled]]*Table6[[#This Row],[Unit Cost]])</f>
        <v>90692.82</v>
      </c>
    </row>
    <row r="341" spans="1:12" x14ac:dyDescent="0.3">
      <c r="A341" s="1" t="s">
        <v>368</v>
      </c>
      <c r="B341" s="3" t="s">
        <v>17</v>
      </c>
      <c r="C341" s="1" t="s">
        <v>31</v>
      </c>
      <c r="D341" t="s">
        <v>13</v>
      </c>
      <c r="E341" s="1" t="s">
        <v>14</v>
      </c>
      <c r="F341" s="1" t="s">
        <v>28</v>
      </c>
      <c r="G341" s="2">
        <v>45266</v>
      </c>
      <c r="H341" s="24">
        <v>468</v>
      </c>
      <c r="I341" s="23">
        <v>51</v>
      </c>
      <c r="J341" s="3">
        <v>54.28</v>
      </c>
      <c r="K341">
        <v>23868</v>
      </c>
      <c r="L341" s="22">
        <f>(Table6[[#This Row],[Unit sold Filled]]*Table6[[#This Row],[Unit Price Filled]])-(Table6[[#This Row],[Unit sold Filled]]*Table6[[#This Row],[Unit Cost]])</f>
        <v>-1535.0400000000009</v>
      </c>
    </row>
    <row r="342" spans="1:12" x14ac:dyDescent="0.3">
      <c r="A342" s="15" t="s">
        <v>369</v>
      </c>
      <c r="B342" s="17" t="s">
        <v>11</v>
      </c>
      <c r="C342" s="15" t="s">
        <v>50</v>
      </c>
      <c r="D342" t="s">
        <v>23</v>
      </c>
      <c r="E342" s="15" t="s">
        <v>24</v>
      </c>
      <c r="F342" s="15" t="s">
        <v>15</v>
      </c>
      <c r="G342" s="18">
        <v>45267</v>
      </c>
      <c r="H342" s="24">
        <v>326</v>
      </c>
      <c r="I342" s="23">
        <v>132.24</v>
      </c>
      <c r="J342" s="17">
        <v>160.74</v>
      </c>
      <c r="K342">
        <v>43110.240000000005</v>
      </c>
      <c r="L342" s="22">
        <f>(Table6[[#This Row],[Unit sold Filled]]*Table6[[#This Row],[Unit Price Filled]])-(Table6[[#This Row],[Unit sold Filled]]*Table6[[#This Row],[Unit Cost]])</f>
        <v>-9291</v>
      </c>
    </row>
    <row r="343" spans="1:12" x14ac:dyDescent="0.3">
      <c r="A343" s="1" t="s">
        <v>370</v>
      </c>
      <c r="B343" s="3" t="s">
        <v>17</v>
      </c>
      <c r="C343" s="1" t="s">
        <v>18</v>
      </c>
      <c r="D343" t="s">
        <v>42</v>
      </c>
      <c r="E343" s="1" t="s">
        <v>24</v>
      </c>
      <c r="F343" s="1" t="s">
        <v>28</v>
      </c>
      <c r="G343" s="2">
        <v>45268</v>
      </c>
      <c r="H343" s="24">
        <v>460</v>
      </c>
      <c r="I343" s="23">
        <v>395.01</v>
      </c>
      <c r="J343" s="3">
        <v>369.2</v>
      </c>
      <c r="K343">
        <v>181704.6</v>
      </c>
      <c r="L343" s="22">
        <f>(Table6[[#This Row],[Unit sold Filled]]*Table6[[#This Row],[Unit Price Filled]])-(Table6[[#This Row],[Unit sold Filled]]*Table6[[#This Row],[Unit Cost]])</f>
        <v>11872.600000000006</v>
      </c>
    </row>
    <row r="344" spans="1:12" x14ac:dyDescent="0.3">
      <c r="A344" s="15" t="s">
        <v>371</v>
      </c>
      <c r="B344" s="17" t="s">
        <v>11</v>
      </c>
      <c r="C344" s="15" t="s">
        <v>12</v>
      </c>
      <c r="D344" t="s">
        <v>27</v>
      </c>
      <c r="E344" s="15" t="s">
        <v>14</v>
      </c>
      <c r="F344" s="15" t="s">
        <v>20</v>
      </c>
      <c r="G344" s="18">
        <v>45269</v>
      </c>
      <c r="H344" s="24">
        <v>132</v>
      </c>
      <c r="I344" s="23">
        <v>433.02</v>
      </c>
      <c r="J344" s="17">
        <v>189.88</v>
      </c>
      <c r="K344">
        <v>57158.64</v>
      </c>
      <c r="L344" s="22">
        <f>(Table6[[#This Row],[Unit sold Filled]]*Table6[[#This Row],[Unit Price Filled]])-(Table6[[#This Row],[Unit sold Filled]]*Table6[[#This Row],[Unit Cost]])</f>
        <v>32094.48</v>
      </c>
    </row>
    <row r="345" spans="1:12" x14ac:dyDescent="0.3">
      <c r="A345" s="1" t="s">
        <v>372</v>
      </c>
      <c r="B345" s="3" t="s">
        <v>48</v>
      </c>
      <c r="C345" s="1" t="s">
        <v>18</v>
      </c>
      <c r="D345" t="s">
        <v>19</v>
      </c>
      <c r="E345" s="1" t="s">
        <v>24</v>
      </c>
      <c r="F345" s="1" t="s">
        <v>15</v>
      </c>
      <c r="G345" s="2">
        <v>45270</v>
      </c>
      <c r="H345" s="24">
        <v>399</v>
      </c>
      <c r="I345" s="23">
        <v>306.2</v>
      </c>
      <c r="J345" s="3">
        <v>7.33</v>
      </c>
      <c r="K345">
        <v>122173.79999999999</v>
      </c>
      <c r="L345" s="22">
        <f>(Table6[[#This Row],[Unit sold Filled]]*Table6[[#This Row],[Unit Price Filled]])-(Table6[[#This Row],[Unit sold Filled]]*Table6[[#This Row],[Unit Cost]])</f>
        <v>119249.12999999999</v>
      </c>
    </row>
    <row r="346" spans="1:12" x14ac:dyDescent="0.3">
      <c r="A346" s="15" t="s">
        <v>373</v>
      </c>
      <c r="B346" s="17" t="s">
        <v>11</v>
      </c>
      <c r="C346" s="15" t="s">
        <v>18</v>
      </c>
      <c r="D346" t="s">
        <v>23</v>
      </c>
      <c r="E346" s="15" t="s">
        <v>14</v>
      </c>
      <c r="F346" s="15" t="s">
        <v>20</v>
      </c>
      <c r="G346" s="18">
        <v>45271</v>
      </c>
      <c r="H346" s="24">
        <v>18</v>
      </c>
      <c r="I346" s="23">
        <v>255.89</v>
      </c>
      <c r="J346" s="17">
        <v>114.53</v>
      </c>
      <c r="K346">
        <v>4606.0199999999995</v>
      </c>
      <c r="L346" s="22">
        <f>(Table6[[#This Row],[Unit sold Filled]]*Table6[[#This Row],[Unit Price Filled]])-(Table6[[#This Row],[Unit sold Filled]]*Table6[[#This Row],[Unit Cost]])</f>
        <v>2544.4799999999996</v>
      </c>
    </row>
    <row r="347" spans="1:12" x14ac:dyDescent="0.3">
      <c r="A347" s="1" t="s">
        <v>374</v>
      </c>
      <c r="B347" s="3" t="s">
        <v>11</v>
      </c>
      <c r="C347" s="1" t="s">
        <v>50</v>
      </c>
      <c r="D347" t="s">
        <v>23</v>
      </c>
      <c r="E347" s="1" t="s">
        <v>14</v>
      </c>
      <c r="F347" s="1" t="s">
        <v>20</v>
      </c>
      <c r="G347" s="2">
        <v>45272</v>
      </c>
      <c r="H347" s="24">
        <v>271</v>
      </c>
      <c r="I347" s="23">
        <v>83.86</v>
      </c>
      <c r="J347" s="3">
        <v>19.75</v>
      </c>
      <c r="K347">
        <v>22726.06</v>
      </c>
      <c r="L347" s="22">
        <f>(Table6[[#This Row],[Unit sold Filled]]*Table6[[#This Row],[Unit Price Filled]])-(Table6[[#This Row],[Unit sold Filled]]*Table6[[#This Row],[Unit Cost]])</f>
        <v>17373.810000000001</v>
      </c>
    </row>
    <row r="348" spans="1:12" x14ac:dyDescent="0.3">
      <c r="A348" s="15" t="s">
        <v>375</v>
      </c>
      <c r="B348" s="17" t="s">
        <v>17</v>
      </c>
      <c r="C348" s="15" t="s">
        <v>12</v>
      </c>
      <c r="D348" t="s">
        <v>42</v>
      </c>
      <c r="E348" s="15" t="s">
        <v>14</v>
      </c>
      <c r="F348" s="15" t="s">
        <v>15</v>
      </c>
      <c r="G348" s="18">
        <v>45273</v>
      </c>
      <c r="H348" s="24">
        <v>82</v>
      </c>
      <c r="I348" s="23">
        <v>36.24</v>
      </c>
      <c r="J348" s="17">
        <v>16.440000000000001</v>
      </c>
      <c r="K348">
        <v>2971.6800000000003</v>
      </c>
      <c r="L348" s="22">
        <f>(Table6[[#This Row],[Unit sold Filled]]*Table6[[#This Row],[Unit Price Filled]])-(Table6[[#This Row],[Unit sold Filled]]*Table6[[#This Row],[Unit Cost]])</f>
        <v>1623.6000000000001</v>
      </c>
    </row>
    <row r="349" spans="1:12" x14ac:dyDescent="0.3">
      <c r="A349" s="1" t="s">
        <v>376</v>
      </c>
      <c r="B349" s="3" t="s">
        <v>17</v>
      </c>
      <c r="C349" s="1" t="s">
        <v>12</v>
      </c>
      <c r="D349" t="s">
        <v>19</v>
      </c>
      <c r="E349" s="1" t="s">
        <v>14</v>
      </c>
      <c r="F349" s="1" t="s">
        <v>15</v>
      </c>
      <c r="G349" s="2">
        <v>45274</v>
      </c>
      <c r="H349" s="24">
        <v>368</v>
      </c>
      <c r="I349" s="23">
        <v>63.24</v>
      </c>
      <c r="J349" s="3">
        <v>111.74</v>
      </c>
      <c r="K349">
        <v>23272.32</v>
      </c>
      <c r="L349" s="22">
        <f>(Table6[[#This Row],[Unit sold Filled]]*Table6[[#This Row],[Unit Price Filled]])-(Table6[[#This Row],[Unit sold Filled]]*Table6[[#This Row],[Unit Cost]])</f>
        <v>-17848</v>
      </c>
    </row>
    <row r="350" spans="1:12" x14ac:dyDescent="0.3">
      <c r="A350" s="15" t="s">
        <v>377</v>
      </c>
      <c r="B350" s="17" t="s">
        <v>17</v>
      </c>
      <c r="C350" s="15" t="s">
        <v>12</v>
      </c>
      <c r="D350" t="s">
        <v>13</v>
      </c>
      <c r="E350" s="15" t="s">
        <v>14</v>
      </c>
      <c r="F350" s="15" t="s">
        <v>20</v>
      </c>
      <c r="G350" s="18">
        <v>45275</v>
      </c>
      <c r="H350" s="24">
        <v>232</v>
      </c>
      <c r="I350" s="23">
        <v>117.54</v>
      </c>
      <c r="J350" s="17">
        <v>111.69</v>
      </c>
      <c r="K350">
        <v>27269.280000000002</v>
      </c>
      <c r="L350" s="22">
        <f>(Table6[[#This Row],[Unit sold Filled]]*Table6[[#This Row],[Unit Price Filled]])-(Table6[[#This Row],[Unit sold Filled]]*Table6[[#This Row],[Unit Cost]])</f>
        <v>1357.2000000000044</v>
      </c>
    </row>
    <row r="351" spans="1:12" x14ac:dyDescent="0.3">
      <c r="A351" s="1" t="s">
        <v>378</v>
      </c>
      <c r="B351" s="3" t="s">
        <v>11</v>
      </c>
      <c r="C351" s="1" t="s">
        <v>31</v>
      </c>
      <c r="D351" t="s">
        <v>23</v>
      </c>
      <c r="E351" s="1" t="s">
        <v>24</v>
      </c>
      <c r="F351" s="1" t="s">
        <v>15</v>
      </c>
      <c r="G351" s="2">
        <v>45276</v>
      </c>
      <c r="H351" s="24">
        <v>425</v>
      </c>
      <c r="I351" s="23">
        <v>174.13</v>
      </c>
      <c r="J351" s="3">
        <v>315.27999999999997</v>
      </c>
      <c r="K351">
        <v>74005.25</v>
      </c>
      <c r="L351" s="22">
        <f>(Table6[[#This Row],[Unit sold Filled]]*Table6[[#This Row],[Unit Price Filled]])-(Table6[[#This Row],[Unit sold Filled]]*Table6[[#This Row],[Unit Cost]])</f>
        <v>-59988.75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088B-630D-44AB-B1FD-59CFCB2EC62A}">
  <dimension ref="A2:G9"/>
  <sheetViews>
    <sheetView workbookViewId="0">
      <selection activeCell="I2" sqref="I2"/>
    </sheetView>
  </sheetViews>
  <sheetFormatPr defaultRowHeight="14.4" x14ac:dyDescent="0.3"/>
  <cols>
    <col min="1" max="1" width="10.5546875" bestFit="1" customWidth="1"/>
    <col min="2" max="2" width="14.44140625" bestFit="1" customWidth="1"/>
  </cols>
  <sheetData>
    <row r="2" spans="1:7" x14ac:dyDescent="0.3">
      <c r="A2" s="35" t="s">
        <v>424</v>
      </c>
      <c r="B2" s="35"/>
      <c r="C2" s="35"/>
      <c r="D2" s="35"/>
      <c r="E2" s="35"/>
      <c r="F2" s="35"/>
      <c r="G2" s="35"/>
    </row>
    <row r="4" spans="1:7" x14ac:dyDescent="0.3">
      <c r="A4" s="25" t="s">
        <v>1</v>
      </c>
      <c r="B4" t="s">
        <v>390</v>
      </c>
    </row>
    <row r="5" spans="1:7" x14ac:dyDescent="0.3">
      <c r="A5" t="s">
        <v>11</v>
      </c>
      <c r="B5" s="22">
        <v>12493.090143826765</v>
      </c>
    </row>
    <row r="6" spans="1:7" x14ac:dyDescent="0.3">
      <c r="A6" t="s">
        <v>22</v>
      </c>
      <c r="B6" s="22">
        <v>16728.373098416283</v>
      </c>
    </row>
    <row r="7" spans="1:7" x14ac:dyDescent="0.3">
      <c r="A7" t="s">
        <v>48</v>
      </c>
      <c r="B7" s="22">
        <v>19174.390289411767</v>
      </c>
    </row>
    <row r="8" spans="1:7" x14ac:dyDescent="0.3">
      <c r="A8" t="s">
        <v>17</v>
      </c>
      <c r="B8" s="22">
        <v>11221.250925915656</v>
      </c>
    </row>
    <row r="9" spans="1:7" x14ac:dyDescent="0.3">
      <c r="A9" t="s">
        <v>391</v>
      </c>
      <c r="B9" s="22">
        <v>14483.474784621831</v>
      </c>
    </row>
  </sheetData>
  <mergeCells count="1">
    <mergeCell ref="A2:G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866E-357C-4E94-B7B7-A0FE82F836E9}">
  <dimension ref="A2:F33"/>
  <sheetViews>
    <sheetView workbookViewId="0">
      <selection activeCell="B8" sqref="B8"/>
    </sheetView>
  </sheetViews>
  <sheetFormatPr defaultRowHeight="14.4" x14ac:dyDescent="0.3"/>
  <cols>
    <col min="1" max="1" width="13.88671875" bestFit="1" customWidth="1"/>
    <col min="2" max="2" width="10" bestFit="1" customWidth="1"/>
    <col min="3" max="3" width="12" bestFit="1" customWidth="1"/>
  </cols>
  <sheetData>
    <row r="2" spans="1:6" x14ac:dyDescent="0.3">
      <c r="A2" s="36" t="s">
        <v>399</v>
      </c>
      <c r="B2" s="36"/>
      <c r="C2" s="36"/>
      <c r="D2" s="36"/>
      <c r="E2" s="36"/>
      <c r="F2" s="36"/>
    </row>
    <row r="4" spans="1:6" x14ac:dyDescent="0.3">
      <c r="A4" s="25" t="s">
        <v>1</v>
      </c>
      <c r="B4" s="25" t="s">
        <v>397</v>
      </c>
      <c r="C4" t="s">
        <v>398</v>
      </c>
    </row>
    <row r="5" spans="1:6" x14ac:dyDescent="0.3">
      <c r="A5" t="s">
        <v>11</v>
      </c>
      <c r="B5" t="s">
        <v>13</v>
      </c>
      <c r="C5">
        <v>888153.51</v>
      </c>
    </row>
    <row r="6" spans="1:6" x14ac:dyDescent="0.3">
      <c r="B6" t="s">
        <v>23</v>
      </c>
      <c r="C6">
        <v>1587286.2385882351</v>
      </c>
    </row>
    <row r="7" spans="1:6" x14ac:dyDescent="0.3">
      <c r="B7" t="s">
        <v>42</v>
      </c>
      <c r="C7">
        <v>946379.13550000009</v>
      </c>
    </row>
    <row r="8" spans="1:6" x14ac:dyDescent="0.3">
      <c r="B8" t="s">
        <v>19</v>
      </c>
      <c r="C8">
        <v>886856.06402941176</v>
      </c>
    </row>
    <row r="9" spans="1:6" x14ac:dyDescent="0.3">
      <c r="B9" t="s">
        <v>27</v>
      </c>
      <c r="C9">
        <v>1764250.2584411765</v>
      </c>
    </row>
    <row r="10" spans="1:6" x14ac:dyDescent="0.3">
      <c r="B10" t="s">
        <v>389</v>
      </c>
      <c r="C10">
        <v>222603.18</v>
      </c>
    </row>
    <row r="11" spans="1:6" x14ac:dyDescent="0.3">
      <c r="A11" t="s">
        <v>393</v>
      </c>
      <c r="C11">
        <v>6295528.3865588224</v>
      </c>
    </row>
    <row r="12" spans="1:6" x14ac:dyDescent="0.3">
      <c r="A12" t="s">
        <v>22</v>
      </c>
      <c r="B12" t="s">
        <v>13</v>
      </c>
      <c r="C12">
        <v>949191.2699999999</v>
      </c>
    </row>
    <row r="13" spans="1:6" x14ac:dyDescent="0.3">
      <c r="B13" t="s">
        <v>23</v>
      </c>
      <c r="C13">
        <v>629674.48532352934</v>
      </c>
    </row>
    <row r="14" spans="1:6" x14ac:dyDescent="0.3">
      <c r="B14" t="s">
        <v>42</v>
      </c>
      <c r="C14">
        <v>950484.27000000025</v>
      </c>
    </row>
    <row r="15" spans="1:6" x14ac:dyDescent="0.3">
      <c r="B15" t="s">
        <v>19</v>
      </c>
      <c r="C15">
        <v>1658446.5176176473</v>
      </c>
    </row>
    <row r="16" spans="1:6" x14ac:dyDescent="0.3">
      <c r="B16" t="s">
        <v>27</v>
      </c>
      <c r="C16">
        <v>731274.15</v>
      </c>
    </row>
    <row r="17" spans="1:3" x14ac:dyDescent="0.3">
      <c r="B17" t="s">
        <v>389</v>
      </c>
      <c r="C17">
        <v>326947.95999999996</v>
      </c>
    </row>
    <row r="18" spans="1:3" x14ac:dyDescent="0.3">
      <c r="A18" t="s">
        <v>394</v>
      </c>
      <c r="C18">
        <v>5246018.6529411776</v>
      </c>
    </row>
    <row r="19" spans="1:3" x14ac:dyDescent="0.3">
      <c r="A19" t="s">
        <v>48</v>
      </c>
      <c r="B19" t="s">
        <v>13</v>
      </c>
      <c r="C19">
        <v>1145872.8400000001</v>
      </c>
    </row>
    <row r="20" spans="1:3" x14ac:dyDescent="0.3">
      <c r="B20" t="s">
        <v>23</v>
      </c>
      <c r="C20">
        <v>496502.89000000007</v>
      </c>
    </row>
    <row r="21" spans="1:3" x14ac:dyDescent="0.3">
      <c r="B21" t="s">
        <v>42</v>
      </c>
      <c r="C21">
        <v>1068292.4033823528</v>
      </c>
    </row>
    <row r="22" spans="1:3" x14ac:dyDescent="0.3">
      <c r="B22" t="s">
        <v>19</v>
      </c>
      <c r="C22">
        <v>695848.67332352931</v>
      </c>
    </row>
    <row r="23" spans="1:3" x14ac:dyDescent="0.3">
      <c r="B23" t="s">
        <v>27</v>
      </c>
      <c r="C23">
        <v>832820.25000000012</v>
      </c>
    </row>
    <row r="24" spans="1:3" x14ac:dyDescent="0.3">
      <c r="B24" t="s">
        <v>389</v>
      </c>
      <c r="C24">
        <v>53764.867323529419</v>
      </c>
    </row>
    <row r="25" spans="1:3" x14ac:dyDescent="0.3">
      <c r="A25" t="s">
        <v>395</v>
      </c>
      <c r="C25">
        <v>4293101.9240294117</v>
      </c>
    </row>
    <row r="26" spans="1:3" x14ac:dyDescent="0.3">
      <c r="A26" t="s">
        <v>17</v>
      </c>
      <c r="B26" t="s">
        <v>13</v>
      </c>
      <c r="C26">
        <v>1870314.2700000003</v>
      </c>
    </row>
    <row r="27" spans="1:3" x14ac:dyDescent="0.3">
      <c r="B27" t="s">
        <v>23</v>
      </c>
      <c r="C27">
        <v>1133988.9397941174</v>
      </c>
    </row>
    <row r="28" spans="1:3" x14ac:dyDescent="0.3">
      <c r="B28" t="s">
        <v>42</v>
      </c>
      <c r="C28">
        <v>1557975.7660882357</v>
      </c>
    </row>
    <row r="29" spans="1:3" x14ac:dyDescent="0.3">
      <c r="B29" t="s">
        <v>19</v>
      </c>
      <c r="C29">
        <v>823912.55552941165</v>
      </c>
    </row>
    <row r="30" spans="1:3" x14ac:dyDescent="0.3">
      <c r="B30" t="s">
        <v>27</v>
      </c>
      <c r="C30">
        <v>1131273.2835882353</v>
      </c>
    </row>
    <row r="31" spans="1:3" x14ac:dyDescent="0.3">
      <c r="B31" t="s">
        <v>389</v>
      </c>
      <c r="C31">
        <v>107359.66</v>
      </c>
    </row>
    <row r="32" spans="1:3" x14ac:dyDescent="0.3">
      <c r="A32" t="s">
        <v>396</v>
      </c>
      <c r="C32">
        <v>6624824.4750000006</v>
      </c>
    </row>
    <row r="33" spans="1:3" x14ac:dyDescent="0.3">
      <c r="A33" t="s">
        <v>391</v>
      </c>
      <c r="C33">
        <v>22459473.438529409</v>
      </c>
    </row>
  </sheetData>
  <mergeCells count="1">
    <mergeCell ref="A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1C49D-C1C2-4655-8468-F7A3D0292EA3}">
  <dimension ref="A3:C16"/>
  <sheetViews>
    <sheetView workbookViewId="0">
      <selection activeCell="A3" sqref="A3"/>
    </sheetView>
  </sheetViews>
  <sheetFormatPr defaultRowHeight="14.4" x14ac:dyDescent="0.3"/>
  <cols>
    <col min="1" max="1" width="12.44140625" bestFit="1" customWidth="1"/>
    <col min="2" max="2" width="18.6640625" bestFit="1" customWidth="1"/>
    <col min="3" max="3" width="11.6640625" bestFit="1" customWidth="1"/>
  </cols>
  <sheetData>
    <row r="3" spans="1:3" x14ac:dyDescent="0.3">
      <c r="A3" s="25" t="s">
        <v>410</v>
      </c>
      <c r="B3" t="s">
        <v>392</v>
      </c>
      <c r="C3" t="s">
        <v>409</v>
      </c>
    </row>
    <row r="4" spans="1:3" x14ac:dyDescent="0.3">
      <c r="A4" s="30" t="s">
        <v>411</v>
      </c>
      <c r="B4" s="46">
        <v>2237345.4051176468</v>
      </c>
      <c r="C4" s="22">
        <v>566109.28511764714</v>
      </c>
    </row>
    <row r="5" spans="1:3" x14ac:dyDescent="0.3">
      <c r="A5" s="30" t="s">
        <v>412</v>
      </c>
      <c r="B5" s="46">
        <v>1553530.2076176475</v>
      </c>
      <c r="C5" s="22">
        <v>400793.51741176465</v>
      </c>
    </row>
    <row r="6" spans="1:3" x14ac:dyDescent="0.3">
      <c r="A6" s="30" t="s">
        <v>413</v>
      </c>
      <c r="B6" s="46">
        <v>1663540.3297941175</v>
      </c>
      <c r="C6" s="22">
        <v>367356.42979411769</v>
      </c>
    </row>
    <row r="7" spans="1:3" x14ac:dyDescent="0.3">
      <c r="A7" s="30" t="s">
        <v>414</v>
      </c>
      <c r="B7" s="46">
        <v>1756311.6793235294</v>
      </c>
      <c r="C7" s="22">
        <v>212307.25932352929</v>
      </c>
    </row>
    <row r="8" spans="1:3" x14ac:dyDescent="0.3">
      <c r="A8" s="30" t="s">
        <v>415</v>
      </c>
      <c r="B8" s="46">
        <v>1971606.8135882355</v>
      </c>
      <c r="C8" s="22">
        <v>288686.3367352942</v>
      </c>
    </row>
    <row r="9" spans="1:3" x14ac:dyDescent="0.3">
      <c r="A9" s="30" t="s">
        <v>416</v>
      </c>
      <c r="B9" s="46">
        <v>2763185.7632941189</v>
      </c>
      <c r="C9" s="22">
        <v>1190984.0732941173</v>
      </c>
    </row>
    <row r="10" spans="1:3" x14ac:dyDescent="0.3">
      <c r="A10" s="30" t="s">
        <v>417</v>
      </c>
      <c r="B10" s="46">
        <v>2278997.7284411765</v>
      </c>
      <c r="C10" s="22">
        <v>716540.73829411762</v>
      </c>
    </row>
    <row r="11" spans="1:3" x14ac:dyDescent="0.3">
      <c r="A11" s="30" t="s">
        <v>418</v>
      </c>
      <c r="B11" s="46">
        <v>1700615.8682058826</v>
      </c>
      <c r="C11" s="22">
        <v>214599.06455882348</v>
      </c>
    </row>
    <row r="12" spans="1:3" x14ac:dyDescent="0.3">
      <c r="A12" s="30" t="s">
        <v>419</v>
      </c>
      <c r="B12" s="46">
        <v>2055833.0806764709</v>
      </c>
      <c r="C12" s="22">
        <v>457059.73105882353</v>
      </c>
    </row>
    <row r="13" spans="1:3" x14ac:dyDescent="0.3">
      <c r="A13" s="30" t="s">
        <v>420</v>
      </c>
      <c r="B13" s="46">
        <v>1751836.308382353</v>
      </c>
      <c r="C13" s="22">
        <v>401396.20826470596</v>
      </c>
    </row>
    <row r="14" spans="1:3" x14ac:dyDescent="0.3">
      <c r="A14" s="30" t="s">
        <v>421</v>
      </c>
      <c r="B14" s="46">
        <v>1667652.5740882359</v>
      </c>
      <c r="C14" s="22">
        <v>-114660.02923529418</v>
      </c>
    </row>
    <row r="15" spans="1:3" x14ac:dyDescent="0.3">
      <c r="A15" s="30" t="s">
        <v>422</v>
      </c>
      <c r="B15" s="46">
        <v>1059017.68</v>
      </c>
      <c r="C15" s="22">
        <v>368043.55999999994</v>
      </c>
    </row>
    <row r="16" spans="1:3" x14ac:dyDescent="0.3">
      <c r="A16" s="30" t="s">
        <v>391</v>
      </c>
      <c r="B16" s="46">
        <v>22459473.438529417</v>
      </c>
      <c r="C16" s="22">
        <v>5069216.1746176463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BCDB-58D9-45CE-A3D9-A17457084E64}">
  <dimension ref="A5:B11"/>
  <sheetViews>
    <sheetView workbookViewId="0">
      <selection activeCell="A5" sqref="A5"/>
    </sheetView>
  </sheetViews>
  <sheetFormatPr defaultRowHeight="14.4" x14ac:dyDescent="0.3"/>
  <cols>
    <col min="1" max="1" width="12.44140625" bestFit="1" customWidth="1"/>
    <col min="2" max="2" width="19.5546875" bestFit="1" customWidth="1"/>
    <col min="3" max="3" width="18.6640625" bestFit="1" customWidth="1"/>
    <col min="4" max="8" width="12" bestFit="1" customWidth="1"/>
  </cols>
  <sheetData>
    <row r="5" spans="1:2" x14ac:dyDescent="0.3">
      <c r="A5" s="25" t="s">
        <v>410</v>
      </c>
      <c r="B5" t="s">
        <v>423</v>
      </c>
    </row>
    <row r="6" spans="1:2" x14ac:dyDescent="0.3">
      <c r="A6" s="30" t="s">
        <v>50</v>
      </c>
      <c r="B6" s="46">
        <v>73</v>
      </c>
    </row>
    <row r="7" spans="1:2" x14ac:dyDescent="0.3">
      <c r="A7" s="30" t="s">
        <v>12</v>
      </c>
      <c r="B7" s="46">
        <v>73</v>
      </c>
    </row>
    <row r="8" spans="1:2" x14ac:dyDescent="0.3">
      <c r="A8" s="30" t="s">
        <v>18</v>
      </c>
      <c r="B8" s="46">
        <v>76</v>
      </c>
    </row>
    <row r="9" spans="1:2" x14ac:dyDescent="0.3">
      <c r="A9" s="30" t="s">
        <v>31</v>
      </c>
      <c r="B9" s="46">
        <v>59</v>
      </c>
    </row>
    <row r="10" spans="1:2" x14ac:dyDescent="0.3">
      <c r="A10" s="30" t="s">
        <v>26</v>
      </c>
      <c r="B10" s="46">
        <v>69</v>
      </c>
    </row>
    <row r="11" spans="1:2" x14ac:dyDescent="0.3">
      <c r="A11" s="30" t="s">
        <v>391</v>
      </c>
      <c r="B11" s="46">
        <v>350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E69AB-0CDD-46D5-9699-9BAD95BF3FCE}">
  <dimension ref="A3:B9"/>
  <sheetViews>
    <sheetView workbookViewId="0">
      <selection activeCell="B4" sqref="B4"/>
    </sheetView>
  </sheetViews>
  <sheetFormatPr defaultRowHeight="14.4" x14ac:dyDescent="0.3"/>
  <cols>
    <col min="1" max="1" width="12.44140625" bestFit="1" customWidth="1"/>
    <col min="2" max="2" width="18.6640625" bestFit="1" customWidth="1"/>
  </cols>
  <sheetData>
    <row r="3" spans="1:2" x14ac:dyDescent="0.3">
      <c r="A3" s="25" t="s">
        <v>410</v>
      </c>
      <c r="B3" t="s">
        <v>392</v>
      </c>
    </row>
    <row r="4" spans="1:2" x14ac:dyDescent="0.3">
      <c r="A4" s="30" t="s">
        <v>50</v>
      </c>
      <c r="B4" s="31">
        <v>0.17938701743219049</v>
      </c>
    </row>
    <row r="5" spans="1:2" x14ac:dyDescent="0.3">
      <c r="A5" s="30" t="s">
        <v>12</v>
      </c>
      <c r="B5" s="31">
        <v>0.16612362129556227</v>
      </c>
    </row>
    <row r="6" spans="1:2" x14ac:dyDescent="0.3">
      <c r="A6" s="30" t="s">
        <v>18</v>
      </c>
      <c r="B6" s="31">
        <v>0.25041291264327736</v>
      </c>
    </row>
    <row r="7" spans="1:2" x14ac:dyDescent="0.3">
      <c r="A7" s="30" t="s">
        <v>31</v>
      </c>
      <c r="B7" s="31">
        <v>0.19416550472016386</v>
      </c>
    </row>
    <row r="8" spans="1:2" x14ac:dyDescent="0.3">
      <c r="A8" s="30" t="s">
        <v>26</v>
      </c>
      <c r="B8" s="31">
        <v>0.2099109439088061</v>
      </c>
    </row>
    <row r="9" spans="1:2" x14ac:dyDescent="0.3">
      <c r="A9" s="30" t="s">
        <v>391</v>
      </c>
      <c r="B9" s="31">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B37A-1F72-47FB-B585-09DCE578F0C1}">
  <dimension ref="A1:O351"/>
  <sheetViews>
    <sheetView topLeftCell="A2" workbookViewId="0">
      <selection activeCell="J14" sqref="J14"/>
    </sheetView>
  </sheetViews>
  <sheetFormatPr defaultRowHeight="14.4" x14ac:dyDescent="0.3"/>
  <cols>
    <col min="1" max="1" width="12.44140625" bestFit="1" customWidth="1"/>
    <col min="2" max="2" width="11.21875" bestFit="1" customWidth="1"/>
    <col min="3" max="3" width="12.21875" bestFit="1" customWidth="1"/>
    <col min="4" max="4" width="16.88671875" bestFit="1" customWidth="1"/>
    <col min="5" max="5" width="12.33203125" bestFit="1" customWidth="1"/>
    <col min="6" max="6" width="11.5546875" bestFit="1" customWidth="1"/>
    <col min="7" max="7" width="15.44140625" bestFit="1" customWidth="1"/>
    <col min="8" max="8" width="18" bestFit="1" customWidth="1"/>
    <col min="9" max="9" width="18.77734375" bestFit="1" customWidth="1"/>
    <col min="10" max="10" width="13.109375" bestFit="1" customWidth="1"/>
    <col min="11" max="11" width="16.88671875" bestFit="1" customWidth="1"/>
    <col min="12" max="12" width="11.33203125" bestFit="1" customWidth="1"/>
    <col min="13" max="13" width="15.88671875" bestFit="1" customWidth="1"/>
    <col min="14" max="14" width="20.109375" bestFit="1" customWidth="1"/>
    <col min="15" max="15" width="16.88671875" bestFit="1" customWidth="1"/>
  </cols>
  <sheetData>
    <row r="1" spans="1:15" ht="29.4" thickBot="1" x14ac:dyDescent="0.35">
      <c r="A1" s="19" t="s">
        <v>0</v>
      </c>
      <c r="B1" s="26" t="s">
        <v>381</v>
      </c>
      <c r="C1" s="20" t="s">
        <v>2</v>
      </c>
      <c r="D1" s="21" t="s">
        <v>382</v>
      </c>
      <c r="E1" s="20" t="s">
        <v>4</v>
      </c>
      <c r="F1" s="20" t="s">
        <v>5</v>
      </c>
      <c r="G1" s="20" t="s">
        <v>6</v>
      </c>
      <c r="H1" s="21" t="s">
        <v>383</v>
      </c>
      <c r="I1" s="21" t="s">
        <v>384</v>
      </c>
      <c r="J1" s="20" t="s">
        <v>9</v>
      </c>
      <c r="K1" s="21" t="s">
        <v>385</v>
      </c>
      <c r="L1" s="21" t="s">
        <v>388</v>
      </c>
      <c r="M1" s="21" t="s">
        <v>400</v>
      </c>
      <c r="N1" s="21" t="s">
        <v>401</v>
      </c>
      <c r="O1" s="21" t="s">
        <v>402</v>
      </c>
    </row>
    <row r="2" spans="1:15" ht="15" thickBot="1" x14ac:dyDescent="0.35">
      <c r="A2" s="15" t="s">
        <v>10</v>
      </c>
      <c r="B2" s="16" t="s">
        <v>11</v>
      </c>
      <c r="C2" s="15" t="s">
        <v>12</v>
      </c>
      <c r="D2" t="s">
        <v>13</v>
      </c>
      <c r="E2" s="15" t="s">
        <v>14</v>
      </c>
      <c r="F2" s="15" t="s">
        <v>15</v>
      </c>
      <c r="G2" s="18">
        <v>44927</v>
      </c>
      <c r="H2" s="24">
        <v>235</v>
      </c>
      <c r="I2" s="23">
        <v>152.91999999999999</v>
      </c>
      <c r="J2" s="17">
        <v>153.6</v>
      </c>
      <c r="K2">
        <v>35936.199999999997</v>
      </c>
      <c r="L2" s="22">
        <f>(Table63[[#This Row],[Unit sold Filled]]*Table63[[#This Row],[Unit Price Filled]])-(Table63[[#This Row],[Unit sold Filled]]*Table63[[#This Row],[Unit Cost]])</f>
        <v>-159.80000000000291</v>
      </c>
      <c r="M2" s="27">
        <f>IF(Table63[[#This Row],[Total Revenue]]=0,0,Table63[[#This Row],[Profit]]/Table63[[#This Row],[Total Revenue]])</f>
        <v>-4.4467695527073796E-3</v>
      </c>
      <c r="N2" s="28" t="str">
        <f>YEAR(Table63[[#This Row],[Order Date]])&amp;"-"&amp;TEXT(Table63[[#This Row],[Order Date]],"mm")</f>
        <v>2023-01</v>
      </c>
      <c r="O2" s="22">
        <f>IF(Table63[[#This Row],[Unit sold Filled]]=0,0,Table63[[#This Row],[Total Revenue]]/Table63[[#This Row],[Unit sold Filled]])</f>
        <v>152.91999999999999</v>
      </c>
    </row>
    <row r="3" spans="1:15" ht="15" thickBot="1" x14ac:dyDescent="0.35">
      <c r="A3" s="1" t="s">
        <v>16</v>
      </c>
      <c r="B3" s="3" t="s">
        <v>17</v>
      </c>
      <c r="C3" s="1" t="s">
        <v>18</v>
      </c>
      <c r="D3" t="s">
        <v>19</v>
      </c>
      <c r="E3" s="1" t="s">
        <v>14</v>
      </c>
      <c r="F3" s="1" t="s">
        <v>20</v>
      </c>
      <c r="G3" s="2">
        <v>44928</v>
      </c>
      <c r="H3" s="24">
        <v>341</v>
      </c>
      <c r="I3" s="23">
        <v>467.92</v>
      </c>
      <c r="J3" s="3">
        <v>139.84</v>
      </c>
      <c r="K3">
        <v>159560.72</v>
      </c>
      <c r="L3" s="22">
        <f>(Table63[[#This Row],[Unit sold Filled]]*Table63[[#This Row],[Unit Price Filled]])-(Table63[[#This Row],[Unit sold Filled]]*Table63[[#This Row],[Unit Cost]])</f>
        <v>111875.28</v>
      </c>
      <c r="M3" s="27">
        <f>IF(Table63[[#This Row],[Total Revenue]]=0,0,Table63[[#This Row],[Profit]]/Table63[[#This Row],[Total Revenue]])</f>
        <v>0.70114549495640277</v>
      </c>
      <c r="N3" s="28" t="str">
        <f>YEAR(Table63[[#This Row],[Order Date]])&amp;"-"&amp;TEXT(Table63[[#This Row],[Order Date]],"mm")</f>
        <v>2023-01</v>
      </c>
      <c r="O3" s="22">
        <f>IF(Table63[[#This Row],[Unit sold Filled]]=0,0,Table63[[#This Row],[Total Revenue]]/Table63[[#This Row],[Unit sold Filled]])</f>
        <v>467.92</v>
      </c>
    </row>
    <row r="4" spans="1:15" ht="15" thickBot="1" x14ac:dyDescent="0.35">
      <c r="A4" s="15" t="s">
        <v>21</v>
      </c>
      <c r="B4" s="17" t="s">
        <v>22</v>
      </c>
      <c r="C4" s="15" t="s">
        <v>18</v>
      </c>
      <c r="D4" t="s">
        <v>23</v>
      </c>
      <c r="E4" s="15" t="s">
        <v>24</v>
      </c>
      <c r="F4" s="15" t="s">
        <v>15</v>
      </c>
      <c r="G4" s="18">
        <v>44929</v>
      </c>
      <c r="H4" s="24">
        <v>179</v>
      </c>
      <c r="I4" s="23">
        <v>473.94</v>
      </c>
      <c r="J4" s="17">
        <v>97.14</v>
      </c>
      <c r="K4">
        <v>84835.26</v>
      </c>
      <c r="L4" s="22">
        <f>(Table63[[#This Row],[Unit sold Filled]]*Table63[[#This Row],[Unit Price Filled]])-(Table63[[#This Row],[Unit sold Filled]]*Table63[[#This Row],[Unit Cost]])</f>
        <v>67447.199999999997</v>
      </c>
      <c r="M4" s="27">
        <f>IF(Table63[[#This Row],[Total Revenue]]=0,0,Table63[[#This Row],[Profit]]/Table63[[#This Row],[Total Revenue]])</f>
        <v>0.79503734649955693</v>
      </c>
      <c r="N4" s="28" t="str">
        <f>YEAR(Table63[[#This Row],[Order Date]])&amp;"-"&amp;TEXT(Table63[[#This Row],[Order Date]],"mm")</f>
        <v>2023-01</v>
      </c>
      <c r="O4" s="22">
        <f>IF(Table63[[#This Row],[Unit sold Filled]]=0,0,Table63[[#This Row],[Total Revenue]]/Table63[[#This Row],[Unit sold Filled]])</f>
        <v>473.94</v>
      </c>
    </row>
    <row r="5" spans="1:15" ht="15" thickBot="1" x14ac:dyDescent="0.35">
      <c r="A5" s="1" t="s">
        <v>25</v>
      </c>
      <c r="B5" s="3" t="s">
        <v>11</v>
      </c>
      <c r="C5" s="1" t="s">
        <v>26</v>
      </c>
      <c r="D5" t="s">
        <v>27</v>
      </c>
      <c r="E5" s="1" t="s">
        <v>24</v>
      </c>
      <c r="F5" s="1" t="s">
        <v>28</v>
      </c>
      <c r="G5" s="2">
        <v>44930</v>
      </c>
      <c r="H5" s="24">
        <v>18</v>
      </c>
      <c r="I5" s="23">
        <v>314.52999999999997</v>
      </c>
      <c r="J5" s="3">
        <v>204.87</v>
      </c>
      <c r="K5">
        <v>5661.5399999999991</v>
      </c>
      <c r="L5" s="22">
        <f>(Table63[[#This Row],[Unit sold Filled]]*Table63[[#This Row],[Unit Price Filled]])-(Table63[[#This Row],[Unit sold Filled]]*Table63[[#This Row],[Unit Cost]])</f>
        <v>1973.8799999999992</v>
      </c>
      <c r="M5" s="27">
        <f>IF(Table63[[#This Row],[Total Revenue]]=0,0,Table63[[#This Row],[Profit]]/Table63[[#This Row],[Total Revenue]])</f>
        <v>0.3486471878676119</v>
      </c>
      <c r="N5" s="28" t="str">
        <f>YEAR(Table63[[#This Row],[Order Date]])&amp;"-"&amp;TEXT(Table63[[#This Row],[Order Date]],"mm")</f>
        <v>2023-01</v>
      </c>
      <c r="O5" s="22">
        <f>IF(Table63[[#This Row],[Unit sold Filled]]=0,0,Table63[[#This Row],[Total Revenue]]/Table63[[#This Row],[Unit sold Filled]])</f>
        <v>314.52999999999997</v>
      </c>
    </row>
    <row r="6" spans="1:15" ht="15" thickBot="1" x14ac:dyDescent="0.35">
      <c r="A6" s="15" t="s">
        <v>29</v>
      </c>
      <c r="B6" s="17" t="s">
        <v>11</v>
      </c>
      <c r="C6" s="15" t="s">
        <v>18</v>
      </c>
      <c r="D6" t="s">
        <v>27</v>
      </c>
      <c r="E6" s="15" t="s">
        <v>24</v>
      </c>
      <c r="F6" s="15" t="s">
        <v>28</v>
      </c>
      <c r="G6" s="18">
        <v>44931</v>
      </c>
      <c r="H6" s="24">
        <v>472</v>
      </c>
      <c r="I6" s="23">
        <v>392.79</v>
      </c>
      <c r="J6" s="17">
        <v>330.46</v>
      </c>
      <c r="K6">
        <v>185396.88</v>
      </c>
      <c r="L6" s="22">
        <f>(Table63[[#This Row],[Unit sold Filled]]*Table63[[#This Row],[Unit Price Filled]])-(Table63[[#This Row],[Unit sold Filled]]*Table63[[#This Row],[Unit Cost]])</f>
        <v>29419.760000000009</v>
      </c>
      <c r="M6" s="27">
        <f>IF(Table63[[#This Row],[Total Revenue]]=0,0,Table63[[#This Row],[Profit]]/Table63[[#This Row],[Total Revenue]])</f>
        <v>0.15868530257898628</v>
      </c>
      <c r="N6" s="28" t="str">
        <f>YEAR(Table63[[#This Row],[Order Date]])&amp;"-"&amp;TEXT(Table63[[#This Row],[Order Date]],"mm")</f>
        <v>2023-01</v>
      </c>
      <c r="O6" s="22">
        <f>IF(Table63[[#This Row],[Unit sold Filled]]=0,0,Table63[[#This Row],[Total Revenue]]/Table63[[#This Row],[Unit sold Filled]])</f>
        <v>392.79</v>
      </c>
    </row>
    <row r="7" spans="1:15" ht="15" thickBot="1" x14ac:dyDescent="0.35">
      <c r="A7" s="1" t="s">
        <v>30</v>
      </c>
      <c r="B7" s="3" t="s">
        <v>17</v>
      </c>
      <c r="C7" s="1" t="s">
        <v>31</v>
      </c>
      <c r="D7" t="s">
        <v>23</v>
      </c>
      <c r="E7" s="1" t="s">
        <v>14</v>
      </c>
      <c r="F7" s="1" t="s">
        <v>15</v>
      </c>
      <c r="G7" s="2">
        <v>44932</v>
      </c>
      <c r="H7" s="24">
        <v>49</v>
      </c>
      <c r="I7" s="23">
        <v>308.07</v>
      </c>
      <c r="J7" s="3">
        <v>113.32</v>
      </c>
      <c r="K7">
        <v>15095.43</v>
      </c>
      <c r="L7" s="22">
        <f>(Table63[[#This Row],[Unit sold Filled]]*Table63[[#This Row],[Unit Price Filled]])-(Table63[[#This Row],[Unit sold Filled]]*Table63[[#This Row],[Unit Cost]])</f>
        <v>9542.75</v>
      </c>
      <c r="M7" s="27">
        <f>IF(Table63[[#This Row],[Total Revenue]]=0,0,Table63[[#This Row],[Profit]]/Table63[[#This Row],[Total Revenue]])</f>
        <v>0.63216152173207385</v>
      </c>
      <c r="N7" s="28" t="str">
        <f>YEAR(Table63[[#This Row],[Order Date]])&amp;"-"&amp;TEXT(Table63[[#This Row],[Order Date]],"mm")</f>
        <v>2023-01</v>
      </c>
      <c r="O7" s="22">
        <f>IF(Table63[[#This Row],[Unit sold Filled]]=0,0,Table63[[#This Row],[Total Revenue]]/Table63[[#This Row],[Unit sold Filled]])</f>
        <v>308.07</v>
      </c>
    </row>
    <row r="8" spans="1:15" ht="15" thickBot="1" x14ac:dyDescent="0.35">
      <c r="A8" s="15" t="s">
        <v>32</v>
      </c>
      <c r="B8" s="17" t="s">
        <v>22</v>
      </c>
      <c r="C8" s="15" t="s">
        <v>12</v>
      </c>
      <c r="D8" t="s">
        <v>23</v>
      </c>
      <c r="E8" s="15" t="s">
        <v>14</v>
      </c>
      <c r="F8" s="15" t="s">
        <v>20</v>
      </c>
      <c r="G8" s="18">
        <v>44933</v>
      </c>
      <c r="H8" s="24">
        <v>34</v>
      </c>
      <c r="I8" s="23">
        <v>244.78</v>
      </c>
      <c r="J8" s="17">
        <v>377.07</v>
      </c>
      <c r="K8">
        <v>8322.52</v>
      </c>
      <c r="L8" s="22">
        <f>(Table63[[#This Row],[Unit sold Filled]]*Table63[[#This Row],[Unit Price Filled]])-(Table63[[#This Row],[Unit sold Filled]]*Table63[[#This Row],[Unit Cost]])</f>
        <v>-4497.8599999999988</v>
      </c>
      <c r="M8" s="27">
        <f>IF(Table63[[#This Row],[Total Revenue]]=0,0,Table63[[#This Row],[Profit]]/Table63[[#This Row],[Total Revenue]])</f>
        <v>-0.5404444807582317</v>
      </c>
      <c r="N8" s="28" t="str">
        <f>YEAR(Table63[[#This Row],[Order Date]])&amp;"-"&amp;TEXT(Table63[[#This Row],[Order Date]],"mm")</f>
        <v>2023-01</v>
      </c>
      <c r="O8" s="22">
        <f>IF(Table63[[#This Row],[Unit sold Filled]]=0,0,Table63[[#This Row],[Total Revenue]]/Table63[[#This Row],[Unit sold Filled]])</f>
        <v>244.78</v>
      </c>
    </row>
    <row r="9" spans="1:15" ht="15" thickBot="1" x14ac:dyDescent="0.35">
      <c r="A9" s="1" t="s">
        <v>33</v>
      </c>
      <c r="B9" s="3" t="s">
        <v>22</v>
      </c>
      <c r="C9" s="1" t="s">
        <v>18</v>
      </c>
      <c r="D9" t="s">
        <v>13</v>
      </c>
      <c r="E9" s="1" t="s">
        <v>14</v>
      </c>
      <c r="F9" s="1" t="s">
        <v>15</v>
      </c>
      <c r="G9" s="2">
        <v>44934</v>
      </c>
      <c r="H9" s="24">
        <v>270</v>
      </c>
      <c r="I9" s="23">
        <v>332.11</v>
      </c>
      <c r="J9" s="3">
        <v>349.59</v>
      </c>
      <c r="K9">
        <v>89669.7</v>
      </c>
      <c r="L9" s="22">
        <f>(Table63[[#This Row],[Unit sold Filled]]*Table63[[#This Row],[Unit Price Filled]])-(Table63[[#This Row],[Unit sold Filled]]*Table63[[#This Row],[Unit Cost]])</f>
        <v>-4719.5999999999913</v>
      </c>
      <c r="M9" s="27">
        <f>IF(Table63[[#This Row],[Total Revenue]]=0,0,Table63[[#This Row],[Profit]]/Table63[[#This Row],[Total Revenue]])</f>
        <v>-5.2633163710818609E-2</v>
      </c>
      <c r="N9" s="28" t="str">
        <f>YEAR(Table63[[#This Row],[Order Date]])&amp;"-"&amp;TEXT(Table63[[#This Row],[Order Date]],"mm")</f>
        <v>2023-01</v>
      </c>
      <c r="O9" s="22">
        <f>IF(Table63[[#This Row],[Unit sold Filled]]=0,0,Table63[[#This Row],[Total Revenue]]/Table63[[#This Row],[Unit sold Filled]])</f>
        <v>332.11</v>
      </c>
    </row>
    <row r="10" spans="1:15" ht="15" thickBot="1" x14ac:dyDescent="0.35">
      <c r="A10" s="15" t="s">
        <v>34</v>
      </c>
      <c r="B10" s="17" t="s">
        <v>11</v>
      </c>
      <c r="C10" s="15" t="s">
        <v>18</v>
      </c>
      <c r="D10" t="s">
        <v>13</v>
      </c>
      <c r="E10" s="15" t="s">
        <v>14</v>
      </c>
      <c r="F10" s="15" t="s">
        <v>20</v>
      </c>
      <c r="G10" s="18">
        <v>44935</v>
      </c>
      <c r="H10" s="24">
        <v>404</v>
      </c>
      <c r="I10" s="23">
        <v>278.74</v>
      </c>
      <c r="J10" s="17">
        <v>66.38</v>
      </c>
      <c r="K10">
        <v>112610.96</v>
      </c>
      <c r="L10" s="22">
        <f>(Table63[[#This Row],[Unit sold Filled]]*Table63[[#This Row],[Unit Price Filled]])-(Table63[[#This Row],[Unit sold Filled]]*Table63[[#This Row],[Unit Cost]])</f>
        <v>85793.44</v>
      </c>
      <c r="M10" s="27">
        <f>IF(Table63[[#This Row],[Total Revenue]]=0,0,Table63[[#This Row],[Profit]]/Table63[[#This Row],[Total Revenue]])</f>
        <v>0.7618569276027839</v>
      </c>
      <c r="N10" s="28" t="str">
        <f>YEAR(Table63[[#This Row],[Order Date]])&amp;"-"&amp;TEXT(Table63[[#This Row],[Order Date]],"mm")</f>
        <v>2023-01</v>
      </c>
      <c r="O10" s="22">
        <f>IF(Table63[[#This Row],[Unit sold Filled]]=0,0,Table63[[#This Row],[Total Revenue]]/Table63[[#This Row],[Unit sold Filled]])</f>
        <v>278.74</v>
      </c>
    </row>
    <row r="11" spans="1:15" ht="15" thickBot="1" x14ac:dyDescent="0.35">
      <c r="A11" s="1" t="s">
        <v>35</v>
      </c>
      <c r="B11" s="3" t="s">
        <v>17</v>
      </c>
      <c r="C11" s="1" t="s">
        <v>26</v>
      </c>
      <c r="D11" t="s">
        <v>27</v>
      </c>
      <c r="E11" s="1" t="s">
        <v>14</v>
      </c>
      <c r="F11" s="1" t="s">
        <v>28</v>
      </c>
      <c r="G11" s="2">
        <v>44936</v>
      </c>
      <c r="H11" s="24">
        <v>452</v>
      </c>
      <c r="I11" s="23">
        <v>300.75</v>
      </c>
      <c r="J11" s="3">
        <v>314.94</v>
      </c>
      <c r="K11">
        <v>135939</v>
      </c>
      <c r="L11" s="22">
        <f>(Table63[[#This Row],[Unit sold Filled]]*Table63[[#This Row],[Unit Price Filled]])-(Table63[[#This Row],[Unit sold Filled]]*Table63[[#This Row],[Unit Cost]])</f>
        <v>-6413.8800000000047</v>
      </c>
      <c r="M11" s="27">
        <f>IF(Table63[[#This Row],[Total Revenue]]=0,0,Table63[[#This Row],[Profit]]/Table63[[#This Row],[Total Revenue]])</f>
        <v>-4.7182044887780585E-2</v>
      </c>
      <c r="N11" s="28" t="str">
        <f>YEAR(Table63[[#This Row],[Order Date]])&amp;"-"&amp;TEXT(Table63[[#This Row],[Order Date]],"mm")</f>
        <v>2023-01</v>
      </c>
      <c r="O11" s="22">
        <f>IF(Table63[[#This Row],[Unit sold Filled]]=0,0,Table63[[#This Row],[Total Revenue]]/Table63[[#This Row],[Unit sold Filled]])</f>
        <v>300.75</v>
      </c>
    </row>
    <row r="12" spans="1:15" ht="15" thickBot="1" x14ac:dyDescent="0.35">
      <c r="A12" s="15" t="s">
        <v>36</v>
      </c>
      <c r="B12" s="17" t="s">
        <v>11</v>
      </c>
      <c r="C12" s="15" t="s">
        <v>26</v>
      </c>
      <c r="D12" t="s">
        <v>19</v>
      </c>
      <c r="E12" s="15" t="s">
        <v>14</v>
      </c>
      <c r="F12" s="15" t="s">
        <v>20</v>
      </c>
      <c r="G12" s="18">
        <v>44937</v>
      </c>
      <c r="H12" s="24">
        <v>235</v>
      </c>
      <c r="I12" s="23">
        <v>393</v>
      </c>
      <c r="J12" s="17">
        <v>230.69</v>
      </c>
      <c r="K12">
        <v>92355</v>
      </c>
      <c r="L12" s="22">
        <f>(Table63[[#This Row],[Unit sold Filled]]*Table63[[#This Row],[Unit Price Filled]])-(Table63[[#This Row],[Unit sold Filled]]*Table63[[#This Row],[Unit Cost]])</f>
        <v>38142.85</v>
      </c>
      <c r="M12" s="27">
        <f>IF(Table63[[#This Row],[Total Revenue]]=0,0,Table63[[#This Row],[Profit]]/Table63[[#This Row],[Total Revenue]])</f>
        <v>0.41300254452926205</v>
      </c>
      <c r="N12" s="28" t="str">
        <f>YEAR(Table63[[#This Row],[Order Date]])&amp;"-"&amp;TEXT(Table63[[#This Row],[Order Date]],"mm")</f>
        <v>2023-01</v>
      </c>
      <c r="O12" s="22">
        <f>IF(Table63[[#This Row],[Unit sold Filled]]=0,0,Table63[[#This Row],[Total Revenue]]/Table63[[#This Row],[Unit sold Filled]])</f>
        <v>393</v>
      </c>
    </row>
    <row r="13" spans="1:15" ht="15" thickBot="1" x14ac:dyDescent="0.35">
      <c r="A13" s="1" t="s">
        <v>37</v>
      </c>
      <c r="B13" s="3" t="s">
        <v>11</v>
      </c>
      <c r="C13" s="1" t="s">
        <v>31</v>
      </c>
      <c r="D13" t="s">
        <v>27</v>
      </c>
      <c r="E13" s="1" t="s">
        <v>24</v>
      </c>
      <c r="F13" s="1" t="s">
        <v>28</v>
      </c>
      <c r="G13" s="2">
        <v>44938</v>
      </c>
      <c r="H13" s="24">
        <v>481</v>
      </c>
      <c r="I13" s="23">
        <v>243.05</v>
      </c>
      <c r="J13" s="3">
        <v>227.5</v>
      </c>
      <c r="K13">
        <v>116907.05</v>
      </c>
      <c r="L13" s="22">
        <f>(Table63[[#This Row],[Unit sold Filled]]*Table63[[#This Row],[Unit Price Filled]])-(Table63[[#This Row],[Unit sold Filled]]*Table63[[#This Row],[Unit Cost]])</f>
        <v>7479.5500000000029</v>
      </c>
      <c r="M13" s="27">
        <f>IF(Table63[[#This Row],[Total Revenue]]=0,0,Table63[[#This Row],[Profit]]/Table63[[#This Row],[Total Revenue]])</f>
        <v>6.3978605225262317E-2</v>
      </c>
      <c r="N13" s="28" t="str">
        <f>YEAR(Table63[[#This Row],[Order Date]])&amp;"-"&amp;TEXT(Table63[[#This Row],[Order Date]],"mm")</f>
        <v>2023-01</v>
      </c>
      <c r="O13" s="22">
        <f>IF(Table63[[#This Row],[Unit sold Filled]]=0,0,Table63[[#This Row],[Total Revenue]]/Table63[[#This Row],[Unit sold Filled]])</f>
        <v>243.05</v>
      </c>
    </row>
    <row r="14" spans="1:15" ht="15" thickBot="1" x14ac:dyDescent="0.35">
      <c r="A14" s="15" t="s">
        <v>38</v>
      </c>
      <c r="B14" s="17" t="s">
        <v>11</v>
      </c>
      <c r="C14" s="15" t="s">
        <v>12</v>
      </c>
      <c r="D14" t="s">
        <v>19</v>
      </c>
      <c r="E14" s="15" t="s">
        <v>24</v>
      </c>
      <c r="F14" s="15" t="s">
        <v>20</v>
      </c>
      <c r="G14" s="18">
        <v>44939</v>
      </c>
      <c r="H14" s="24">
        <v>133</v>
      </c>
      <c r="I14" s="23">
        <v>25.17</v>
      </c>
      <c r="J14" s="17">
        <v>157.63999999999999</v>
      </c>
      <c r="K14">
        <v>3347.61</v>
      </c>
      <c r="L14" s="22">
        <f>(Table63[[#This Row],[Unit sold Filled]]*Table63[[#This Row],[Unit Price Filled]])-(Table63[[#This Row],[Unit sold Filled]]*Table63[[#This Row],[Unit Cost]])</f>
        <v>-17618.509999999998</v>
      </c>
      <c r="M14" s="27">
        <f>IF(Table63[[#This Row],[Total Revenue]]=0,0,Table63[[#This Row],[Profit]]/Table63[[#This Row],[Total Revenue]])</f>
        <v>-5.2630115216527606</v>
      </c>
      <c r="N14" s="28" t="str">
        <f>YEAR(Table63[[#This Row],[Order Date]])&amp;"-"&amp;TEXT(Table63[[#This Row],[Order Date]],"mm")</f>
        <v>2023-01</v>
      </c>
      <c r="O14" s="22">
        <f>IF(Table63[[#This Row],[Unit sold Filled]]=0,0,Table63[[#This Row],[Total Revenue]]/Table63[[#This Row],[Unit sold Filled]])</f>
        <v>25.17</v>
      </c>
    </row>
    <row r="15" spans="1:15" ht="15" thickBot="1" x14ac:dyDescent="0.35">
      <c r="A15" s="1" t="s">
        <v>39</v>
      </c>
      <c r="B15" s="3" t="s">
        <v>11</v>
      </c>
      <c r="C15" s="1" t="s">
        <v>26</v>
      </c>
      <c r="D15" t="s">
        <v>19</v>
      </c>
      <c r="E15" s="1" t="s">
        <v>24</v>
      </c>
      <c r="F15" s="1" t="s">
        <v>20</v>
      </c>
      <c r="G15" s="2">
        <v>44940</v>
      </c>
      <c r="H15" s="24">
        <v>472</v>
      </c>
      <c r="I15" s="23">
        <v>86.18</v>
      </c>
      <c r="J15" s="3">
        <v>201.46</v>
      </c>
      <c r="K15">
        <v>40676.960000000006</v>
      </c>
      <c r="L15" s="22">
        <f>(Table63[[#This Row],[Unit sold Filled]]*Table63[[#This Row],[Unit Price Filled]])-(Table63[[#This Row],[Unit sold Filled]]*Table63[[#This Row],[Unit Cost]])</f>
        <v>-54412.160000000003</v>
      </c>
      <c r="M15" s="27">
        <f>IF(Table63[[#This Row],[Total Revenue]]=0,0,Table63[[#This Row],[Profit]]/Table63[[#This Row],[Total Revenue]])</f>
        <v>-1.3376653515896959</v>
      </c>
      <c r="N15" s="28" t="str">
        <f>YEAR(Table63[[#This Row],[Order Date]])&amp;"-"&amp;TEXT(Table63[[#This Row],[Order Date]],"mm")</f>
        <v>2023-01</v>
      </c>
      <c r="O15" s="22">
        <f>IF(Table63[[#This Row],[Unit sold Filled]]=0,0,Table63[[#This Row],[Total Revenue]]/Table63[[#This Row],[Unit sold Filled]])</f>
        <v>86.18</v>
      </c>
    </row>
    <row r="16" spans="1:15" ht="15" thickBot="1" x14ac:dyDescent="0.35">
      <c r="A16" s="15" t="s">
        <v>40</v>
      </c>
      <c r="B16" s="17" t="s">
        <v>17</v>
      </c>
      <c r="C16" s="15" t="s">
        <v>18</v>
      </c>
      <c r="D16" t="s">
        <v>13</v>
      </c>
      <c r="E16" s="15" t="s">
        <v>24</v>
      </c>
      <c r="F16" s="15" t="s">
        <v>20</v>
      </c>
      <c r="G16" s="18">
        <v>44941</v>
      </c>
      <c r="H16" s="24">
        <v>47</v>
      </c>
      <c r="I16" s="23">
        <v>222.11</v>
      </c>
      <c r="J16" s="17">
        <v>160.08000000000001</v>
      </c>
      <c r="K16">
        <v>10439.17</v>
      </c>
      <c r="L16" s="22">
        <f>(Table63[[#This Row],[Unit sold Filled]]*Table63[[#This Row],[Unit Price Filled]])-(Table63[[#This Row],[Unit sold Filled]]*Table63[[#This Row],[Unit Cost]])</f>
        <v>2915.41</v>
      </c>
      <c r="M16" s="27">
        <f>IF(Table63[[#This Row],[Total Revenue]]=0,0,Table63[[#This Row],[Profit]]/Table63[[#This Row],[Total Revenue]])</f>
        <v>0.27927603439737064</v>
      </c>
      <c r="N16" s="28" t="str">
        <f>YEAR(Table63[[#This Row],[Order Date]])&amp;"-"&amp;TEXT(Table63[[#This Row],[Order Date]],"mm")</f>
        <v>2023-01</v>
      </c>
      <c r="O16" s="22">
        <f>IF(Table63[[#This Row],[Unit sold Filled]]=0,0,Table63[[#This Row],[Total Revenue]]/Table63[[#This Row],[Unit sold Filled]])</f>
        <v>222.11</v>
      </c>
    </row>
    <row r="17" spans="1:15" ht="15" thickBot="1" x14ac:dyDescent="0.35">
      <c r="A17" s="1" t="s">
        <v>41</v>
      </c>
      <c r="B17" s="3" t="s">
        <v>22</v>
      </c>
      <c r="C17" s="1" t="s">
        <v>12</v>
      </c>
      <c r="D17" t="s">
        <v>42</v>
      </c>
      <c r="E17" s="1" t="s">
        <v>14</v>
      </c>
      <c r="F17" s="1" t="s">
        <v>15</v>
      </c>
      <c r="G17" s="2">
        <v>44942</v>
      </c>
      <c r="H17" s="24">
        <v>337</v>
      </c>
      <c r="I17" s="23">
        <v>363.79</v>
      </c>
      <c r="J17" s="3">
        <v>216.81</v>
      </c>
      <c r="K17">
        <v>122597.23000000001</v>
      </c>
      <c r="L17" s="22">
        <f>(Table63[[#This Row],[Unit sold Filled]]*Table63[[#This Row],[Unit Price Filled]])-(Table63[[#This Row],[Unit sold Filled]]*Table63[[#This Row],[Unit Cost]])</f>
        <v>49532.260000000009</v>
      </c>
      <c r="M17" s="27">
        <f>IF(Table63[[#This Row],[Total Revenue]]=0,0,Table63[[#This Row],[Profit]]/Table63[[#This Row],[Total Revenue]])</f>
        <v>0.40402429973336268</v>
      </c>
      <c r="N17" s="28" t="str">
        <f>YEAR(Table63[[#This Row],[Order Date]])&amp;"-"&amp;TEXT(Table63[[#This Row],[Order Date]],"mm")</f>
        <v>2023-01</v>
      </c>
      <c r="O17" s="22">
        <f>IF(Table63[[#This Row],[Unit sold Filled]]=0,0,Table63[[#This Row],[Total Revenue]]/Table63[[#This Row],[Unit sold Filled]])</f>
        <v>363.79</v>
      </c>
    </row>
    <row r="18" spans="1:15" ht="15" thickBot="1" x14ac:dyDescent="0.35">
      <c r="A18" s="15" t="s">
        <v>43</v>
      </c>
      <c r="B18" s="17" t="s">
        <v>17</v>
      </c>
      <c r="C18" s="15" t="s">
        <v>12</v>
      </c>
      <c r="D18" t="s">
        <v>42</v>
      </c>
      <c r="E18" s="15" t="s">
        <v>14</v>
      </c>
      <c r="F18" s="15" t="s">
        <v>15</v>
      </c>
      <c r="G18" s="18">
        <v>44943</v>
      </c>
      <c r="H18" s="24">
        <v>260</v>
      </c>
      <c r="I18" s="23">
        <v>298.67</v>
      </c>
      <c r="J18" s="17">
        <v>251.92</v>
      </c>
      <c r="K18">
        <v>77654.2</v>
      </c>
      <c r="L18" s="22">
        <f>(Table63[[#This Row],[Unit sold Filled]]*Table63[[#This Row],[Unit Price Filled]])-(Table63[[#This Row],[Unit sold Filled]]*Table63[[#This Row],[Unit Cost]])</f>
        <v>12155</v>
      </c>
      <c r="M18" s="27">
        <f>IF(Table63[[#This Row],[Total Revenue]]=0,0,Table63[[#This Row],[Profit]]/Table63[[#This Row],[Total Revenue]])</f>
        <v>0.15652727090099441</v>
      </c>
      <c r="N18" s="28" t="str">
        <f>YEAR(Table63[[#This Row],[Order Date]])&amp;"-"&amp;TEXT(Table63[[#This Row],[Order Date]],"mm")</f>
        <v>2023-01</v>
      </c>
      <c r="O18" s="22">
        <f>IF(Table63[[#This Row],[Unit sold Filled]]=0,0,Table63[[#This Row],[Total Revenue]]/Table63[[#This Row],[Unit sold Filled]])</f>
        <v>298.67</v>
      </c>
    </row>
    <row r="19" spans="1:15" ht="15" thickBot="1" x14ac:dyDescent="0.35">
      <c r="A19" s="1" t="s">
        <v>44</v>
      </c>
      <c r="B19" s="3" t="s">
        <v>17</v>
      </c>
      <c r="C19" s="1" t="s">
        <v>18</v>
      </c>
      <c r="D19" t="s">
        <v>23</v>
      </c>
      <c r="E19" s="1" t="s">
        <v>24</v>
      </c>
      <c r="F19" s="1" t="s">
        <v>28</v>
      </c>
      <c r="G19" s="2">
        <v>44944</v>
      </c>
      <c r="H19" s="24">
        <v>398</v>
      </c>
      <c r="I19" s="23">
        <v>326.89999999999998</v>
      </c>
      <c r="J19" s="3">
        <v>270.37</v>
      </c>
      <c r="K19">
        <v>130106.2</v>
      </c>
      <c r="L19" s="22">
        <f>(Table63[[#This Row],[Unit sold Filled]]*Table63[[#This Row],[Unit Price Filled]])-(Table63[[#This Row],[Unit sold Filled]]*Table63[[#This Row],[Unit Cost]])</f>
        <v>22498.940000000002</v>
      </c>
      <c r="M19" s="27">
        <f>IF(Table63[[#This Row],[Total Revenue]]=0,0,Table63[[#This Row],[Profit]]/Table63[[#This Row],[Total Revenue]])</f>
        <v>0.17292750076475988</v>
      </c>
      <c r="N19" s="28" t="str">
        <f>YEAR(Table63[[#This Row],[Order Date]])&amp;"-"&amp;TEXT(Table63[[#This Row],[Order Date]],"mm")</f>
        <v>2023-01</v>
      </c>
      <c r="O19" s="22">
        <f>IF(Table63[[#This Row],[Unit sold Filled]]=0,0,Table63[[#This Row],[Total Revenue]]/Table63[[#This Row],[Unit sold Filled]])</f>
        <v>326.89999999999998</v>
      </c>
    </row>
    <row r="20" spans="1:15" ht="15" thickBot="1" x14ac:dyDescent="0.35">
      <c r="A20" s="15" t="s">
        <v>45</v>
      </c>
      <c r="B20" s="17" t="s">
        <v>17</v>
      </c>
      <c r="C20" s="15" t="s">
        <v>26</v>
      </c>
      <c r="D20" t="s">
        <v>13</v>
      </c>
      <c r="E20" s="15" t="s">
        <v>14</v>
      </c>
      <c r="F20" s="15" t="s">
        <v>28</v>
      </c>
      <c r="G20" s="18">
        <v>44945</v>
      </c>
      <c r="H20" s="24">
        <v>185</v>
      </c>
      <c r="I20" s="23">
        <v>242.24</v>
      </c>
      <c r="J20" s="17">
        <v>213.93</v>
      </c>
      <c r="K20">
        <v>44814.400000000001</v>
      </c>
      <c r="L20" s="22">
        <f>(Table63[[#This Row],[Unit sold Filled]]*Table63[[#This Row],[Unit Price Filled]])-(Table63[[#This Row],[Unit sold Filled]]*Table63[[#This Row],[Unit Cost]])</f>
        <v>5237.3499999999985</v>
      </c>
      <c r="M20" s="27">
        <f>IF(Table63[[#This Row],[Total Revenue]]=0,0,Table63[[#This Row],[Profit]]/Table63[[#This Row],[Total Revenue]])</f>
        <v>0.11686756935270802</v>
      </c>
      <c r="N20" s="28" t="str">
        <f>YEAR(Table63[[#This Row],[Order Date]])&amp;"-"&amp;TEXT(Table63[[#This Row],[Order Date]],"mm")</f>
        <v>2023-01</v>
      </c>
      <c r="O20" s="22">
        <f>IF(Table63[[#This Row],[Unit sold Filled]]=0,0,Table63[[#This Row],[Total Revenue]]/Table63[[#This Row],[Unit sold Filled]])</f>
        <v>242.24</v>
      </c>
    </row>
    <row r="21" spans="1:15" ht="15" thickBot="1" x14ac:dyDescent="0.35">
      <c r="A21" s="1" t="s">
        <v>46</v>
      </c>
      <c r="B21" s="3" t="s">
        <v>11</v>
      </c>
      <c r="C21" s="1" t="s">
        <v>18</v>
      </c>
      <c r="D21" t="s">
        <v>19</v>
      </c>
      <c r="E21" s="1" t="s">
        <v>24</v>
      </c>
      <c r="F21" s="1" t="s">
        <v>15</v>
      </c>
      <c r="G21" s="2">
        <v>44946</v>
      </c>
      <c r="H21" s="24">
        <v>99</v>
      </c>
      <c r="I21" s="23">
        <v>309.79000000000002</v>
      </c>
      <c r="J21" s="3">
        <v>289.13</v>
      </c>
      <c r="K21">
        <v>30669.210000000003</v>
      </c>
      <c r="L21" s="22">
        <f>(Table63[[#This Row],[Unit sold Filled]]*Table63[[#This Row],[Unit Price Filled]])-(Table63[[#This Row],[Unit sold Filled]]*Table63[[#This Row],[Unit Cost]])</f>
        <v>2045.3400000000038</v>
      </c>
      <c r="M21" s="27">
        <f>IF(Table63[[#This Row],[Total Revenue]]=0,0,Table63[[#This Row],[Profit]]/Table63[[#This Row],[Total Revenue]])</f>
        <v>6.6690338616482256E-2</v>
      </c>
      <c r="N21" s="28" t="str">
        <f>YEAR(Table63[[#This Row],[Order Date]])&amp;"-"&amp;TEXT(Table63[[#This Row],[Order Date]],"mm")</f>
        <v>2023-01</v>
      </c>
      <c r="O21" s="22">
        <f>IF(Table63[[#This Row],[Unit sold Filled]]=0,0,Table63[[#This Row],[Total Revenue]]/Table63[[#This Row],[Unit sold Filled]])</f>
        <v>309.79000000000002</v>
      </c>
    </row>
    <row r="22" spans="1:15" ht="15" thickBot="1" x14ac:dyDescent="0.35">
      <c r="A22" s="15" t="s">
        <v>47</v>
      </c>
      <c r="B22" s="17" t="s">
        <v>48</v>
      </c>
      <c r="C22" s="15" t="s">
        <v>12</v>
      </c>
      <c r="D22" t="s">
        <v>42</v>
      </c>
      <c r="E22" s="15" t="s">
        <v>24</v>
      </c>
      <c r="F22" s="15" t="s">
        <v>28</v>
      </c>
      <c r="G22" s="18">
        <v>44947</v>
      </c>
      <c r="H22" s="24">
        <v>411</v>
      </c>
      <c r="I22" s="23">
        <v>167.86</v>
      </c>
      <c r="J22" s="17">
        <v>58.23</v>
      </c>
      <c r="K22">
        <v>68990.460000000006</v>
      </c>
      <c r="L22" s="22">
        <f>(Table63[[#This Row],[Unit sold Filled]]*Table63[[#This Row],[Unit Price Filled]])-(Table63[[#This Row],[Unit sold Filled]]*Table63[[#This Row],[Unit Cost]])</f>
        <v>45057.930000000008</v>
      </c>
      <c r="M22" s="27">
        <f>IF(Table63[[#This Row],[Total Revenue]]=0,0,Table63[[#This Row],[Profit]]/Table63[[#This Row],[Total Revenue]])</f>
        <v>0.65310377695698807</v>
      </c>
      <c r="N22" s="28" t="str">
        <f>YEAR(Table63[[#This Row],[Order Date]])&amp;"-"&amp;TEXT(Table63[[#This Row],[Order Date]],"mm")</f>
        <v>2023-01</v>
      </c>
      <c r="O22" s="22">
        <f>IF(Table63[[#This Row],[Unit sold Filled]]=0,0,Table63[[#This Row],[Total Revenue]]/Table63[[#This Row],[Unit sold Filled]])</f>
        <v>167.86</v>
      </c>
    </row>
    <row r="23" spans="1:15" ht="15" thickBot="1" x14ac:dyDescent="0.35">
      <c r="A23" s="1" t="s">
        <v>49</v>
      </c>
      <c r="B23" s="3" t="s">
        <v>22</v>
      </c>
      <c r="C23" s="1" t="s">
        <v>50</v>
      </c>
      <c r="D23" t="s">
        <v>19</v>
      </c>
      <c r="E23" s="1" t="s">
        <v>24</v>
      </c>
      <c r="F23" s="1" t="s">
        <v>15</v>
      </c>
      <c r="G23" s="2">
        <v>44948</v>
      </c>
      <c r="H23" s="24">
        <v>463</v>
      </c>
      <c r="I23" s="23">
        <v>237.74</v>
      </c>
      <c r="J23" s="3">
        <v>86.37</v>
      </c>
      <c r="K23">
        <v>110073.62000000001</v>
      </c>
      <c r="L23" s="22">
        <f>(Table63[[#This Row],[Unit sold Filled]]*Table63[[#This Row],[Unit Price Filled]])-(Table63[[#This Row],[Unit sold Filled]]*Table63[[#This Row],[Unit Cost]])</f>
        <v>70084.31</v>
      </c>
      <c r="M23" s="27">
        <f>IF(Table63[[#This Row],[Total Revenue]]=0,0,Table63[[#This Row],[Profit]]/Table63[[#This Row],[Total Revenue]])</f>
        <v>0.63670396231176907</v>
      </c>
      <c r="N23" s="28" t="str">
        <f>YEAR(Table63[[#This Row],[Order Date]])&amp;"-"&amp;TEXT(Table63[[#This Row],[Order Date]],"mm")</f>
        <v>2023-01</v>
      </c>
      <c r="O23" s="22">
        <f>IF(Table63[[#This Row],[Unit sold Filled]]=0,0,Table63[[#This Row],[Total Revenue]]/Table63[[#This Row],[Unit sold Filled]])</f>
        <v>237.74</v>
      </c>
    </row>
    <row r="24" spans="1:15" ht="15" thickBot="1" x14ac:dyDescent="0.35">
      <c r="A24" s="15" t="s">
        <v>51</v>
      </c>
      <c r="B24" s="17" t="s">
        <v>48</v>
      </c>
      <c r="C24" s="15" t="s">
        <v>50</v>
      </c>
      <c r="D24" t="s">
        <v>42</v>
      </c>
      <c r="E24" s="15" t="s">
        <v>14</v>
      </c>
      <c r="F24" s="15" t="s">
        <v>20</v>
      </c>
      <c r="G24" s="18">
        <v>44949</v>
      </c>
      <c r="H24" s="24">
        <v>46</v>
      </c>
      <c r="I24" s="23">
        <v>373.42</v>
      </c>
      <c r="J24" s="17">
        <v>327.86</v>
      </c>
      <c r="K24">
        <v>17177.32</v>
      </c>
      <c r="L24" s="22">
        <f>(Table63[[#This Row],[Unit sold Filled]]*Table63[[#This Row],[Unit Price Filled]])-(Table63[[#This Row],[Unit sold Filled]]*Table63[[#This Row],[Unit Cost]])</f>
        <v>2095.7599999999984</v>
      </c>
      <c r="M24" s="27">
        <f>IF(Table63[[#This Row],[Total Revenue]]=0,0,Table63[[#This Row],[Profit]]/Table63[[#This Row],[Total Revenue]])</f>
        <v>0.1220073911413421</v>
      </c>
      <c r="N24" s="28" t="str">
        <f>YEAR(Table63[[#This Row],[Order Date]])&amp;"-"&amp;TEXT(Table63[[#This Row],[Order Date]],"mm")</f>
        <v>2023-01</v>
      </c>
      <c r="O24" s="22">
        <f>IF(Table63[[#This Row],[Unit sold Filled]]=0,0,Table63[[#This Row],[Total Revenue]]/Table63[[#This Row],[Unit sold Filled]])</f>
        <v>373.42</v>
      </c>
    </row>
    <row r="25" spans="1:15" ht="15" thickBot="1" x14ac:dyDescent="0.35">
      <c r="A25" s="1" t="s">
        <v>52</v>
      </c>
      <c r="B25" s="3" t="s">
        <v>17</v>
      </c>
      <c r="C25" s="1" t="s">
        <v>31</v>
      </c>
      <c r="D25" t="s">
        <v>42</v>
      </c>
      <c r="E25" s="1" t="s">
        <v>24</v>
      </c>
      <c r="F25" s="1" t="s">
        <v>28</v>
      </c>
      <c r="G25" s="2">
        <v>44950</v>
      </c>
      <c r="H25" s="24">
        <v>325</v>
      </c>
      <c r="I25" s="23">
        <v>436.56</v>
      </c>
      <c r="J25" s="3">
        <v>130.37</v>
      </c>
      <c r="K25">
        <v>141882</v>
      </c>
      <c r="L25" s="22">
        <f>(Table63[[#This Row],[Unit sold Filled]]*Table63[[#This Row],[Unit Price Filled]])-(Table63[[#This Row],[Unit sold Filled]]*Table63[[#This Row],[Unit Cost]])</f>
        <v>99511.75</v>
      </c>
      <c r="M25" s="27">
        <f>IF(Table63[[#This Row],[Total Revenue]]=0,0,Table63[[#This Row],[Profit]]/Table63[[#This Row],[Total Revenue]])</f>
        <v>0.70136980025655127</v>
      </c>
      <c r="N25" s="28" t="str">
        <f>YEAR(Table63[[#This Row],[Order Date]])&amp;"-"&amp;TEXT(Table63[[#This Row],[Order Date]],"mm")</f>
        <v>2023-01</v>
      </c>
      <c r="O25" s="22">
        <f>IF(Table63[[#This Row],[Unit sold Filled]]=0,0,Table63[[#This Row],[Total Revenue]]/Table63[[#This Row],[Unit sold Filled]])</f>
        <v>436.56</v>
      </c>
    </row>
    <row r="26" spans="1:15" ht="15" thickBot="1" x14ac:dyDescent="0.35">
      <c r="A26" s="15" t="s">
        <v>53</v>
      </c>
      <c r="B26" s="17" t="s">
        <v>17</v>
      </c>
      <c r="C26" s="15" t="s">
        <v>18</v>
      </c>
      <c r="D26" t="s">
        <v>389</v>
      </c>
      <c r="E26" s="15" t="s">
        <v>24</v>
      </c>
      <c r="F26" s="15" t="s">
        <v>28</v>
      </c>
      <c r="G26" s="18">
        <v>44951</v>
      </c>
      <c r="H26" s="24">
        <v>185</v>
      </c>
      <c r="I26" s="23">
        <v>219.66</v>
      </c>
      <c r="J26" s="17">
        <v>11.11</v>
      </c>
      <c r="K26">
        <v>40637.1</v>
      </c>
      <c r="L26" s="22">
        <f>(Table63[[#This Row],[Unit sold Filled]]*Table63[[#This Row],[Unit Price Filled]])-(Table63[[#This Row],[Unit sold Filled]]*Table63[[#This Row],[Unit Cost]])</f>
        <v>38581.75</v>
      </c>
      <c r="M26" s="27">
        <f>IF(Table63[[#This Row],[Total Revenue]]=0,0,Table63[[#This Row],[Profit]]/Table63[[#This Row],[Total Revenue]])</f>
        <v>0.94942183374305744</v>
      </c>
      <c r="N26" s="28" t="str">
        <f>YEAR(Table63[[#This Row],[Order Date]])&amp;"-"&amp;TEXT(Table63[[#This Row],[Order Date]],"mm")</f>
        <v>2023-01</v>
      </c>
      <c r="O26" s="22">
        <f>IF(Table63[[#This Row],[Unit sold Filled]]=0,0,Table63[[#This Row],[Total Revenue]]/Table63[[#This Row],[Unit sold Filled]])</f>
        <v>219.66</v>
      </c>
    </row>
    <row r="27" spans="1:15" ht="15" thickBot="1" x14ac:dyDescent="0.35">
      <c r="A27" s="1" t="s">
        <v>54</v>
      </c>
      <c r="B27" s="3" t="s">
        <v>48</v>
      </c>
      <c r="C27" s="1" t="s">
        <v>18</v>
      </c>
      <c r="D27" t="s">
        <v>13</v>
      </c>
      <c r="E27" s="1" t="s">
        <v>24</v>
      </c>
      <c r="F27" s="1" t="s">
        <v>15</v>
      </c>
      <c r="G27" s="2">
        <v>44952</v>
      </c>
      <c r="H27" s="24">
        <v>470</v>
      </c>
      <c r="I27" s="23">
        <v>26.61</v>
      </c>
      <c r="J27" s="3">
        <v>63.21</v>
      </c>
      <c r="K27">
        <v>12506.699999999999</v>
      </c>
      <c r="L27" s="22">
        <f>(Table63[[#This Row],[Unit sold Filled]]*Table63[[#This Row],[Unit Price Filled]])-(Table63[[#This Row],[Unit sold Filled]]*Table63[[#This Row],[Unit Cost]])</f>
        <v>-17202</v>
      </c>
      <c r="M27" s="27">
        <f>IF(Table63[[#This Row],[Total Revenue]]=0,0,Table63[[#This Row],[Profit]]/Table63[[#This Row],[Total Revenue]])</f>
        <v>-1.3754227733934612</v>
      </c>
      <c r="N27" s="28" t="str">
        <f>YEAR(Table63[[#This Row],[Order Date]])&amp;"-"&amp;TEXT(Table63[[#This Row],[Order Date]],"mm")</f>
        <v>2023-01</v>
      </c>
      <c r="O27" s="22">
        <f>IF(Table63[[#This Row],[Unit sold Filled]]=0,0,Table63[[#This Row],[Total Revenue]]/Table63[[#This Row],[Unit sold Filled]])</f>
        <v>26.61</v>
      </c>
    </row>
    <row r="28" spans="1:15" ht="15" thickBot="1" x14ac:dyDescent="0.35">
      <c r="A28" s="15" t="s">
        <v>55</v>
      </c>
      <c r="B28" s="17" t="s">
        <v>48</v>
      </c>
      <c r="C28" s="15" t="s">
        <v>31</v>
      </c>
      <c r="D28" t="s">
        <v>27</v>
      </c>
      <c r="E28" s="15" t="s">
        <v>14</v>
      </c>
      <c r="F28" s="15" t="s">
        <v>28</v>
      </c>
      <c r="G28" s="18">
        <v>44953</v>
      </c>
      <c r="H28" s="24">
        <v>293</v>
      </c>
      <c r="I28" s="23">
        <v>85.03</v>
      </c>
      <c r="J28" s="17">
        <v>91</v>
      </c>
      <c r="K28">
        <v>24913.79</v>
      </c>
      <c r="L28" s="22">
        <f>(Table63[[#This Row],[Unit sold Filled]]*Table63[[#This Row],[Unit Price Filled]])-(Table63[[#This Row],[Unit sold Filled]]*Table63[[#This Row],[Unit Cost]])</f>
        <v>-1749.2099999999991</v>
      </c>
      <c r="M28" s="27">
        <f>IF(Table63[[#This Row],[Total Revenue]]=0,0,Table63[[#This Row],[Profit]]/Table63[[#This Row],[Total Revenue]])</f>
        <v>-7.0210513936257754E-2</v>
      </c>
      <c r="N28" s="28" t="str">
        <f>YEAR(Table63[[#This Row],[Order Date]])&amp;"-"&amp;TEXT(Table63[[#This Row],[Order Date]],"mm")</f>
        <v>2023-01</v>
      </c>
      <c r="O28" s="22">
        <f>IF(Table63[[#This Row],[Unit sold Filled]]=0,0,Table63[[#This Row],[Total Revenue]]/Table63[[#This Row],[Unit sold Filled]])</f>
        <v>85.03</v>
      </c>
    </row>
    <row r="29" spans="1:15" ht="15" thickBot="1" x14ac:dyDescent="0.35">
      <c r="A29" s="1" t="s">
        <v>56</v>
      </c>
      <c r="B29" s="3" t="s">
        <v>48</v>
      </c>
      <c r="C29" s="1" t="s">
        <v>31</v>
      </c>
      <c r="D29" t="s">
        <v>19</v>
      </c>
      <c r="E29" s="1" t="s">
        <v>14</v>
      </c>
      <c r="F29" s="1" t="s">
        <v>28</v>
      </c>
      <c r="G29" s="2">
        <v>44954</v>
      </c>
      <c r="H29" s="24">
        <v>462</v>
      </c>
      <c r="I29" s="23">
        <v>249.64520588235297</v>
      </c>
      <c r="J29" s="3">
        <v>383.01</v>
      </c>
      <c r="K29">
        <v>115336.08511764708</v>
      </c>
      <c r="L29" s="22">
        <f>(Table63[[#This Row],[Unit sold Filled]]*Table63[[#This Row],[Unit Price Filled]])-(Table63[[#This Row],[Unit sold Filled]]*Table63[[#This Row],[Unit Cost]])</f>
        <v>-61614.53488235292</v>
      </c>
      <c r="M29" s="27">
        <f>IF(Table63[[#This Row],[Total Revenue]]=0,0,Table63[[#This Row],[Profit]]/Table63[[#This Row],[Total Revenue]])</f>
        <v>-0.5342173251285911</v>
      </c>
      <c r="N29" s="28" t="str">
        <f>YEAR(Table63[[#This Row],[Order Date]])&amp;"-"&amp;TEXT(Table63[[#This Row],[Order Date]],"mm")</f>
        <v>2023-01</v>
      </c>
      <c r="O29" s="22">
        <f>IF(Table63[[#This Row],[Unit sold Filled]]=0,0,Table63[[#This Row],[Total Revenue]]/Table63[[#This Row],[Unit sold Filled]])</f>
        <v>249.64520588235297</v>
      </c>
    </row>
    <row r="30" spans="1:15" ht="15" thickBot="1" x14ac:dyDescent="0.35">
      <c r="A30" s="15" t="s">
        <v>57</v>
      </c>
      <c r="B30" s="17" t="s">
        <v>17</v>
      </c>
      <c r="C30" s="15" t="s">
        <v>31</v>
      </c>
      <c r="D30" t="s">
        <v>13</v>
      </c>
      <c r="E30" s="15" t="s">
        <v>24</v>
      </c>
      <c r="F30" s="15" t="s">
        <v>20</v>
      </c>
      <c r="G30" s="18">
        <v>44955</v>
      </c>
      <c r="H30" s="24">
        <v>470</v>
      </c>
      <c r="I30" s="23">
        <v>328.37</v>
      </c>
      <c r="J30" s="17">
        <v>230.07</v>
      </c>
      <c r="K30">
        <v>154333.9</v>
      </c>
      <c r="L30" s="22">
        <f>(Table63[[#This Row],[Unit sold Filled]]*Table63[[#This Row],[Unit Price Filled]])-(Table63[[#This Row],[Unit sold Filled]]*Table63[[#This Row],[Unit Cost]])</f>
        <v>46201</v>
      </c>
      <c r="M30" s="27">
        <f>IF(Table63[[#This Row],[Total Revenue]]=0,0,Table63[[#This Row],[Profit]]/Table63[[#This Row],[Total Revenue]])</f>
        <v>0.29935743216493593</v>
      </c>
      <c r="N30" s="28" t="str">
        <f>YEAR(Table63[[#This Row],[Order Date]])&amp;"-"&amp;TEXT(Table63[[#This Row],[Order Date]],"mm")</f>
        <v>2023-01</v>
      </c>
      <c r="O30" s="22">
        <f>IF(Table63[[#This Row],[Unit sold Filled]]=0,0,Table63[[#This Row],[Total Revenue]]/Table63[[#This Row],[Unit sold Filled]])</f>
        <v>328.37</v>
      </c>
    </row>
    <row r="31" spans="1:15" ht="15" thickBot="1" x14ac:dyDescent="0.35">
      <c r="A31" s="1" t="s">
        <v>58</v>
      </c>
      <c r="B31" s="3" t="s">
        <v>17</v>
      </c>
      <c r="C31" s="1" t="s">
        <v>12</v>
      </c>
      <c r="D31" t="s">
        <v>13</v>
      </c>
      <c r="E31" s="1" t="s">
        <v>14</v>
      </c>
      <c r="F31" s="1" t="s">
        <v>28</v>
      </c>
      <c r="G31" s="2">
        <v>44956</v>
      </c>
      <c r="H31" s="24">
        <v>90</v>
      </c>
      <c r="I31" s="23">
        <v>169.5</v>
      </c>
      <c r="J31" s="3">
        <v>373.23</v>
      </c>
      <c r="K31">
        <v>15255</v>
      </c>
      <c r="L31" s="22">
        <f>(Table63[[#This Row],[Unit sold Filled]]*Table63[[#This Row],[Unit Price Filled]])-(Table63[[#This Row],[Unit sold Filled]]*Table63[[#This Row],[Unit Cost]])</f>
        <v>-18335.700000000004</v>
      </c>
      <c r="M31" s="27">
        <f>IF(Table63[[#This Row],[Total Revenue]]=0,0,Table63[[#This Row],[Profit]]/Table63[[#This Row],[Total Revenue]])</f>
        <v>-1.2019469026548675</v>
      </c>
      <c r="N31" s="28" t="str">
        <f>YEAR(Table63[[#This Row],[Order Date]])&amp;"-"&amp;TEXT(Table63[[#This Row],[Order Date]],"mm")</f>
        <v>2023-01</v>
      </c>
      <c r="O31" s="22">
        <f>IF(Table63[[#This Row],[Unit sold Filled]]=0,0,Table63[[#This Row],[Total Revenue]]/Table63[[#This Row],[Unit sold Filled]])</f>
        <v>169.5</v>
      </c>
    </row>
    <row r="32" spans="1:15" ht="15" thickBot="1" x14ac:dyDescent="0.35">
      <c r="A32" s="15" t="s">
        <v>59</v>
      </c>
      <c r="B32" s="17" t="s">
        <v>17</v>
      </c>
      <c r="C32" s="15" t="s">
        <v>18</v>
      </c>
      <c r="D32" t="s">
        <v>13</v>
      </c>
      <c r="E32" s="15" t="s">
        <v>14</v>
      </c>
      <c r="F32" s="15" t="s">
        <v>20</v>
      </c>
      <c r="G32" s="18">
        <v>44957</v>
      </c>
      <c r="H32" s="24">
        <v>123</v>
      </c>
      <c r="I32" s="23">
        <v>273.52999999999997</v>
      </c>
      <c r="J32" s="17">
        <v>230.92</v>
      </c>
      <c r="K32">
        <v>33644.189999999995</v>
      </c>
      <c r="L32" s="22">
        <f>(Table63[[#This Row],[Unit sold Filled]]*Table63[[#This Row],[Unit Price Filled]])-(Table63[[#This Row],[Unit sold Filled]]*Table63[[#This Row],[Unit Cost]])</f>
        <v>5241.0299999999952</v>
      </c>
      <c r="M32" s="27">
        <f>IF(Table63[[#This Row],[Total Revenue]]=0,0,Table63[[#This Row],[Profit]]/Table63[[#This Row],[Total Revenue]])</f>
        <v>0.15577815961686092</v>
      </c>
      <c r="N32" s="28" t="str">
        <f>YEAR(Table63[[#This Row],[Order Date]])&amp;"-"&amp;TEXT(Table63[[#This Row],[Order Date]],"mm")</f>
        <v>2023-01</v>
      </c>
      <c r="O32" s="22">
        <f>IF(Table63[[#This Row],[Unit sold Filled]]=0,0,Table63[[#This Row],[Total Revenue]]/Table63[[#This Row],[Unit sold Filled]])</f>
        <v>273.52999999999997</v>
      </c>
    </row>
    <row r="33" spans="1:15" ht="15" thickBot="1" x14ac:dyDescent="0.35">
      <c r="A33" s="1" t="s">
        <v>60</v>
      </c>
      <c r="B33" s="3" t="s">
        <v>22</v>
      </c>
      <c r="C33" s="1" t="s">
        <v>12</v>
      </c>
      <c r="D33" t="s">
        <v>13</v>
      </c>
      <c r="E33" s="1" t="s">
        <v>14</v>
      </c>
      <c r="F33" s="1" t="s">
        <v>15</v>
      </c>
      <c r="G33" s="2">
        <v>44958</v>
      </c>
      <c r="H33" s="24">
        <v>49</v>
      </c>
      <c r="I33" s="23">
        <v>249.17</v>
      </c>
      <c r="J33" s="3">
        <v>192.78</v>
      </c>
      <c r="K33">
        <v>12209.33</v>
      </c>
      <c r="L33" s="22">
        <f>(Table63[[#This Row],[Unit sold Filled]]*Table63[[#This Row],[Unit Price Filled]])-(Table63[[#This Row],[Unit sold Filled]]*Table63[[#This Row],[Unit Cost]])</f>
        <v>2763.1100000000006</v>
      </c>
      <c r="M33" s="27">
        <f>IF(Table63[[#This Row],[Total Revenue]]=0,0,Table63[[#This Row],[Profit]]/Table63[[#This Row],[Total Revenue]])</f>
        <v>0.226311353694265</v>
      </c>
      <c r="N33" s="28" t="str">
        <f>YEAR(Table63[[#This Row],[Order Date]])&amp;"-"&amp;TEXT(Table63[[#This Row],[Order Date]],"mm")</f>
        <v>2023-02</v>
      </c>
      <c r="O33" s="22">
        <f>IF(Table63[[#This Row],[Unit sold Filled]]=0,0,Table63[[#This Row],[Total Revenue]]/Table63[[#This Row],[Unit sold Filled]])</f>
        <v>249.17</v>
      </c>
    </row>
    <row r="34" spans="1:15" ht="15" thickBot="1" x14ac:dyDescent="0.35">
      <c r="A34" s="15" t="s">
        <v>61</v>
      </c>
      <c r="B34" s="17" t="s">
        <v>17</v>
      </c>
      <c r="C34" s="15" t="s">
        <v>31</v>
      </c>
      <c r="D34" t="s">
        <v>13</v>
      </c>
      <c r="E34" s="15" t="s">
        <v>14</v>
      </c>
      <c r="F34" s="15" t="s">
        <v>28</v>
      </c>
      <c r="G34" s="18">
        <v>44959</v>
      </c>
      <c r="H34" s="24">
        <v>310</v>
      </c>
      <c r="I34" s="23">
        <v>45.36</v>
      </c>
      <c r="J34" s="17">
        <v>126.86</v>
      </c>
      <c r="K34">
        <v>14061.6</v>
      </c>
      <c r="L34" s="22">
        <f>(Table63[[#This Row],[Unit sold Filled]]*Table63[[#This Row],[Unit Price Filled]])-(Table63[[#This Row],[Unit sold Filled]]*Table63[[#This Row],[Unit Cost]])</f>
        <v>-25265</v>
      </c>
      <c r="M34" s="27">
        <f>IF(Table63[[#This Row],[Total Revenue]]=0,0,Table63[[#This Row],[Profit]]/Table63[[#This Row],[Total Revenue]])</f>
        <v>-1.7967372134038799</v>
      </c>
      <c r="N34" s="28" t="str">
        <f>YEAR(Table63[[#This Row],[Order Date]])&amp;"-"&amp;TEXT(Table63[[#This Row],[Order Date]],"mm")</f>
        <v>2023-02</v>
      </c>
      <c r="O34" s="22">
        <f>IF(Table63[[#This Row],[Unit sold Filled]]=0,0,Table63[[#This Row],[Total Revenue]]/Table63[[#This Row],[Unit sold Filled]])</f>
        <v>45.36</v>
      </c>
    </row>
    <row r="35" spans="1:15" ht="15" thickBot="1" x14ac:dyDescent="0.35">
      <c r="A35" s="1" t="s">
        <v>62</v>
      </c>
      <c r="B35" s="3" t="s">
        <v>48</v>
      </c>
      <c r="C35" s="1" t="s">
        <v>18</v>
      </c>
      <c r="D35" t="s">
        <v>23</v>
      </c>
      <c r="E35" s="1" t="s">
        <v>14</v>
      </c>
      <c r="F35" s="1" t="s">
        <v>20</v>
      </c>
      <c r="G35" s="2">
        <v>44960</v>
      </c>
      <c r="H35" s="24">
        <v>233</v>
      </c>
      <c r="I35" s="23">
        <v>204.61</v>
      </c>
      <c r="J35" s="3">
        <v>243.34</v>
      </c>
      <c r="K35">
        <v>47674.130000000005</v>
      </c>
      <c r="L35" s="22">
        <f>(Table63[[#This Row],[Unit sold Filled]]*Table63[[#This Row],[Unit Price Filled]])-(Table63[[#This Row],[Unit sold Filled]]*Table63[[#This Row],[Unit Cost]])</f>
        <v>-9024.0899999999965</v>
      </c>
      <c r="M35" s="27">
        <f>IF(Table63[[#This Row],[Total Revenue]]=0,0,Table63[[#This Row],[Profit]]/Table63[[#This Row],[Total Revenue]])</f>
        <v>-0.18928693612237907</v>
      </c>
      <c r="N35" s="28" t="str">
        <f>YEAR(Table63[[#This Row],[Order Date]])&amp;"-"&amp;TEXT(Table63[[#This Row],[Order Date]],"mm")</f>
        <v>2023-02</v>
      </c>
      <c r="O35" s="22">
        <f>IF(Table63[[#This Row],[Unit sold Filled]]=0,0,Table63[[#This Row],[Total Revenue]]/Table63[[#This Row],[Unit sold Filled]])</f>
        <v>204.61</v>
      </c>
    </row>
    <row r="36" spans="1:15" ht="15" thickBot="1" x14ac:dyDescent="0.35">
      <c r="A36" s="15" t="s">
        <v>63</v>
      </c>
      <c r="B36" s="17" t="s">
        <v>48</v>
      </c>
      <c r="C36" s="15" t="s">
        <v>12</v>
      </c>
      <c r="D36" t="s">
        <v>19</v>
      </c>
      <c r="E36" s="15" t="s">
        <v>14</v>
      </c>
      <c r="F36" s="15" t="s">
        <v>15</v>
      </c>
      <c r="G36" s="18">
        <v>44961</v>
      </c>
      <c r="H36" s="24">
        <v>327</v>
      </c>
      <c r="I36" s="23">
        <v>114.18</v>
      </c>
      <c r="J36" s="17">
        <v>57.4</v>
      </c>
      <c r="K36">
        <v>37336.86</v>
      </c>
      <c r="L36" s="22">
        <f>(Table63[[#This Row],[Unit sold Filled]]*Table63[[#This Row],[Unit Price Filled]])-(Table63[[#This Row],[Unit sold Filled]]*Table63[[#This Row],[Unit Cost]])</f>
        <v>18567.060000000001</v>
      </c>
      <c r="M36" s="27">
        <f>IF(Table63[[#This Row],[Total Revenue]]=0,0,Table63[[#This Row],[Profit]]/Table63[[#This Row],[Total Revenue]])</f>
        <v>0.4972849886144684</v>
      </c>
      <c r="N36" s="28" t="str">
        <f>YEAR(Table63[[#This Row],[Order Date]])&amp;"-"&amp;TEXT(Table63[[#This Row],[Order Date]],"mm")</f>
        <v>2023-02</v>
      </c>
      <c r="O36" s="22">
        <f>IF(Table63[[#This Row],[Unit sold Filled]]=0,0,Table63[[#This Row],[Total Revenue]]/Table63[[#This Row],[Unit sold Filled]])</f>
        <v>114.18</v>
      </c>
    </row>
    <row r="37" spans="1:15" ht="15" thickBot="1" x14ac:dyDescent="0.35">
      <c r="A37" s="1" t="s">
        <v>64</v>
      </c>
      <c r="B37" s="3" t="s">
        <v>22</v>
      </c>
      <c r="C37" s="1" t="s">
        <v>12</v>
      </c>
      <c r="D37" t="s">
        <v>13</v>
      </c>
      <c r="E37" s="1" t="s">
        <v>14</v>
      </c>
      <c r="F37" s="1" t="s">
        <v>28</v>
      </c>
      <c r="G37" s="2">
        <v>44962</v>
      </c>
      <c r="H37" s="24">
        <v>358</v>
      </c>
      <c r="I37" s="23">
        <v>212.11</v>
      </c>
      <c r="J37" s="3">
        <v>359.51</v>
      </c>
      <c r="K37">
        <v>75935.38</v>
      </c>
      <c r="L37" s="22">
        <f>(Table63[[#This Row],[Unit sold Filled]]*Table63[[#This Row],[Unit Price Filled]])-(Table63[[#This Row],[Unit sold Filled]]*Table63[[#This Row],[Unit Cost]])</f>
        <v>-52769.2</v>
      </c>
      <c r="M37" s="27">
        <f>IF(Table63[[#This Row],[Total Revenue]]=0,0,Table63[[#This Row],[Profit]]/Table63[[#This Row],[Total Revenue]])</f>
        <v>-0.69492244590071184</v>
      </c>
      <c r="N37" s="28" t="str">
        <f>YEAR(Table63[[#This Row],[Order Date]])&amp;"-"&amp;TEXT(Table63[[#This Row],[Order Date]],"mm")</f>
        <v>2023-02</v>
      </c>
      <c r="O37" s="22">
        <f>IF(Table63[[#This Row],[Unit sold Filled]]=0,0,Table63[[#This Row],[Total Revenue]]/Table63[[#This Row],[Unit sold Filled]])</f>
        <v>212.11</v>
      </c>
    </row>
    <row r="38" spans="1:15" ht="15" thickBot="1" x14ac:dyDescent="0.35">
      <c r="A38" s="15" t="s">
        <v>65</v>
      </c>
      <c r="B38" s="17" t="s">
        <v>17</v>
      </c>
      <c r="C38" s="15" t="s">
        <v>31</v>
      </c>
      <c r="D38" t="s">
        <v>19</v>
      </c>
      <c r="E38" s="15" t="s">
        <v>14</v>
      </c>
      <c r="F38" s="15" t="s">
        <v>15</v>
      </c>
      <c r="G38" s="18">
        <v>44963</v>
      </c>
      <c r="H38" s="24">
        <v>124</v>
      </c>
      <c r="I38" s="23">
        <v>249.64520588235297</v>
      </c>
      <c r="J38" s="17">
        <v>332.07</v>
      </c>
      <c r="K38">
        <v>30956.005529411766</v>
      </c>
      <c r="L38" s="22">
        <f>(Table63[[#This Row],[Unit sold Filled]]*Table63[[#This Row],[Unit Price Filled]])-(Table63[[#This Row],[Unit sold Filled]]*Table63[[#This Row],[Unit Cost]])</f>
        <v>-10220.674470588234</v>
      </c>
      <c r="M38" s="27">
        <f>IF(Table63[[#This Row],[Total Revenue]]=0,0,Table63[[#This Row],[Profit]]/Table63[[#This Row],[Total Revenue]])</f>
        <v>-0.33016774276246391</v>
      </c>
      <c r="N38" s="28" t="str">
        <f>YEAR(Table63[[#This Row],[Order Date]])&amp;"-"&amp;TEXT(Table63[[#This Row],[Order Date]],"mm")</f>
        <v>2023-02</v>
      </c>
      <c r="O38" s="22">
        <f>IF(Table63[[#This Row],[Unit sold Filled]]=0,0,Table63[[#This Row],[Total Revenue]]/Table63[[#This Row],[Unit sold Filled]])</f>
        <v>249.64520588235297</v>
      </c>
    </row>
    <row r="39" spans="1:15" ht="15" thickBot="1" x14ac:dyDescent="0.35">
      <c r="A39" s="1" t="s">
        <v>66</v>
      </c>
      <c r="B39" s="3" t="s">
        <v>22</v>
      </c>
      <c r="C39" s="1" t="s">
        <v>18</v>
      </c>
      <c r="D39" t="s">
        <v>23</v>
      </c>
      <c r="E39" s="1" t="s">
        <v>14</v>
      </c>
      <c r="F39" s="1" t="s">
        <v>28</v>
      </c>
      <c r="G39" s="2">
        <v>44964</v>
      </c>
      <c r="H39" s="24">
        <v>195</v>
      </c>
      <c r="I39" s="23">
        <v>421.02</v>
      </c>
      <c r="J39" s="3">
        <v>128.38</v>
      </c>
      <c r="K39">
        <v>82098.899999999994</v>
      </c>
      <c r="L39" s="22">
        <f>(Table63[[#This Row],[Unit sold Filled]]*Table63[[#This Row],[Unit Price Filled]])-(Table63[[#This Row],[Unit sold Filled]]*Table63[[#This Row],[Unit Cost]])</f>
        <v>57064.799999999996</v>
      </c>
      <c r="M39" s="27">
        <f>IF(Table63[[#This Row],[Total Revenue]]=0,0,Table63[[#This Row],[Profit]]/Table63[[#This Row],[Total Revenue]])</f>
        <v>0.69507386822478745</v>
      </c>
      <c r="N39" s="28" t="str">
        <f>YEAR(Table63[[#This Row],[Order Date]])&amp;"-"&amp;TEXT(Table63[[#This Row],[Order Date]],"mm")</f>
        <v>2023-02</v>
      </c>
      <c r="O39" s="22">
        <f>IF(Table63[[#This Row],[Unit sold Filled]]=0,0,Table63[[#This Row],[Total Revenue]]/Table63[[#This Row],[Unit sold Filled]])</f>
        <v>421.02</v>
      </c>
    </row>
    <row r="40" spans="1:15" ht="15" thickBot="1" x14ac:dyDescent="0.35">
      <c r="A40" s="15" t="s">
        <v>67</v>
      </c>
      <c r="B40" s="17" t="s">
        <v>22</v>
      </c>
      <c r="C40" s="15" t="s">
        <v>31</v>
      </c>
      <c r="D40" t="s">
        <v>23</v>
      </c>
      <c r="E40" s="15" t="s">
        <v>14</v>
      </c>
      <c r="F40" s="15" t="s">
        <v>15</v>
      </c>
      <c r="G40" s="18">
        <v>44965</v>
      </c>
      <c r="H40" s="24">
        <v>255.90294117647059</v>
      </c>
      <c r="I40" s="23">
        <v>91.23</v>
      </c>
      <c r="J40" s="17">
        <v>381.21</v>
      </c>
      <c r="K40">
        <v>23346.025323529411</v>
      </c>
      <c r="L40" s="22">
        <f>(Table63[[#This Row],[Unit sold Filled]]*Table63[[#This Row],[Unit Price Filled]])-(Table63[[#This Row],[Unit sold Filled]]*Table63[[#This Row],[Unit Cost]])</f>
        <v>-74206.734882352946</v>
      </c>
      <c r="M40" s="27">
        <f>IF(Table63[[#This Row],[Total Revenue]]=0,0,Table63[[#This Row],[Profit]]/Table63[[#This Row],[Total Revenue]])</f>
        <v>-3.1785596843143704</v>
      </c>
      <c r="N40" s="28" t="str">
        <f>YEAR(Table63[[#This Row],[Order Date]])&amp;"-"&amp;TEXT(Table63[[#This Row],[Order Date]],"mm")</f>
        <v>2023-02</v>
      </c>
      <c r="O40" s="22">
        <f>IF(Table63[[#This Row],[Unit sold Filled]]=0,0,Table63[[#This Row],[Total Revenue]]/Table63[[#This Row],[Unit sold Filled]])</f>
        <v>91.23</v>
      </c>
    </row>
    <row r="41" spans="1:15" ht="15" thickBot="1" x14ac:dyDescent="0.35">
      <c r="A41" s="1" t="s">
        <v>68</v>
      </c>
      <c r="B41" s="3" t="s">
        <v>11</v>
      </c>
      <c r="C41" s="1" t="s">
        <v>18</v>
      </c>
      <c r="D41" t="s">
        <v>19</v>
      </c>
      <c r="E41" s="1" t="s">
        <v>24</v>
      </c>
      <c r="F41" s="1" t="s">
        <v>15</v>
      </c>
      <c r="G41" s="2">
        <v>44966</v>
      </c>
      <c r="H41" s="24">
        <v>65</v>
      </c>
      <c r="I41" s="23">
        <v>480.59</v>
      </c>
      <c r="J41" s="3">
        <v>330.43</v>
      </c>
      <c r="K41">
        <v>31238.35</v>
      </c>
      <c r="L41" s="22">
        <f>(Table63[[#This Row],[Unit sold Filled]]*Table63[[#This Row],[Unit Price Filled]])-(Table63[[#This Row],[Unit sold Filled]]*Table63[[#This Row],[Unit Cost]])</f>
        <v>9760.3999999999978</v>
      </c>
      <c r="M41" s="27">
        <f>IF(Table63[[#This Row],[Total Revenue]]=0,0,Table63[[#This Row],[Profit]]/Table63[[#This Row],[Total Revenue]])</f>
        <v>0.31244928109199105</v>
      </c>
      <c r="N41" s="28" t="str">
        <f>YEAR(Table63[[#This Row],[Order Date]])&amp;"-"&amp;TEXT(Table63[[#This Row],[Order Date]],"mm")</f>
        <v>2023-02</v>
      </c>
      <c r="O41" s="22">
        <f>IF(Table63[[#This Row],[Unit sold Filled]]=0,0,Table63[[#This Row],[Total Revenue]]/Table63[[#This Row],[Unit sold Filled]])</f>
        <v>480.59</v>
      </c>
    </row>
    <row r="42" spans="1:15" ht="15" thickBot="1" x14ac:dyDescent="0.35">
      <c r="A42" s="15" t="s">
        <v>69</v>
      </c>
      <c r="B42" s="17" t="s">
        <v>11</v>
      </c>
      <c r="C42" s="15" t="s">
        <v>50</v>
      </c>
      <c r="D42" t="s">
        <v>42</v>
      </c>
      <c r="E42" s="15" t="s">
        <v>24</v>
      </c>
      <c r="F42" s="15" t="s">
        <v>20</v>
      </c>
      <c r="G42" s="18">
        <v>44967</v>
      </c>
      <c r="H42" s="24">
        <v>49</v>
      </c>
      <c r="I42" s="23">
        <v>210.87</v>
      </c>
      <c r="J42" s="17">
        <v>267.19</v>
      </c>
      <c r="K42">
        <v>10332.630000000001</v>
      </c>
      <c r="L42" s="22">
        <f>(Table63[[#This Row],[Unit sold Filled]]*Table63[[#This Row],[Unit Price Filled]])-(Table63[[#This Row],[Unit sold Filled]]*Table63[[#This Row],[Unit Cost]])</f>
        <v>-2759.6799999999985</v>
      </c>
      <c r="M42" s="27">
        <f>IF(Table63[[#This Row],[Total Revenue]]=0,0,Table63[[#This Row],[Profit]]/Table63[[#This Row],[Total Revenue]])</f>
        <v>-0.26708398539384437</v>
      </c>
      <c r="N42" s="28" t="str">
        <f>YEAR(Table63[[#This Row],[Order Date]])&amp;"-"&amp;TEXT(Table63[[#This Row],[Order Date]],"mm")</f>
        <v>2023-02</v>
      </c>
      <c r="O42" s="22">
        <f>IF(Table63[[#This Row],[Unit sold Filled]]=0,0,Table63[[#This Row],[Total Revenue]]/Table63[[#This Row],[Unit sold Filled]])</f>
        <v>210.87000000000003</v>
      </c>
    </row>
    <row r="43" spans="1:15" ht="15" thickBot="1" x14ac:dyDescent="0.35">
      <c r="A43" s="1" t="s">
        <v>70</v>
      </c>
      <c r="B43" s="3" t="s">
        <v>11</v>
      </c>
      <c r="C43" s="1" t="s">
        <v>26</v>
      </c>
      <c r="D43" t="s">
        <v>27</v>
      </c>
      <c r="E43" s="1" t="s">
        <v>14</v>
      </c>
      <c r="F43" s="1" t="s">
        <v>15</v>
      </c>
      <c r="G43" s="2">
        <v>44968</v>
      </c>
      <c r="H43" s="24">
        <v>363</v>
      </c>
      <c r="I43" s="23">
        <v>423.89</v>
      </c>
      <c r="J43" s="3">
        <v>50.46</v>
      </c>
      <c r="K43">
        <v>153872.07</v>
      </c>
      <c r="L43" s="22">
        <f>(Table63[[#This Row],[Unit sold Filled]]*Table63[[#This Row],[Unit Price Filled]])-(Table63[[#This Row],[Unit sold Filled]]*Table63[[#This Row],[Unit Cost]])</f>
        <v>135555.09</v>
      </c>
      <c r="M43" s="27">
        <f>IF(Table63[[#This Row],[Total Revenue]]=0,0,Table63[[#This Row],[Profit]]/Table63[[#This Row],[Total Revenue]])</f>
        <v>0.88095968293661087</v>
      </c>
      <c r="N43" s="28" t="str">
        <f>YEAR(Table63[[#This Row],[Order Date]])&amp;"-"&amp;TEXT(Table63[[#This Row],[Order Date]],"mm")</f>
        <v>2023-02</v>
      </c>
      <c r="O43" s="22">
        <f>IF(Table63[[#This Row],[Unit sold Filled]]=0,0,Table63[[#This Row],[Total Revenue]]/Table63[[#This Row],[Unit sold Filled]])</f>
        <v>423.89000000000004</v>
      </c>
    </row>
    <row r="44" spans="1:15" ht="15" thickBot="1" x14ac:dyDescent="0.35">
      <c r="A44" s="15" t="s">
        <v>71</v>
      </c>
      <c r="B44" s="17" t="s">
        <v>48</v>
      </c>
      <c r="C44" s="15" t="s">
        <v>26</v>
      </c>
      <c r="D44" t="s">
        <v>42</v>
      </c>
      <c r="E44" s="15" t="s">
        <v>24</v>
      </c>
      <c r="F44" s="15" t="s">
        <v>28</v>
      </c>
      <c r="G44" s="18">
        <v>44969</v>
      </c>
      <c r="H44" s="24">
        <v>49</v>
      </c>
      <c r="I44" s="23">
        <v>316.24</v>
      </c>
      <c r="J44" s="17">
        <v>192.34</v>
      </c>
      <c r="K44">
        <v>15495.76</v>
      </c>
      <c r="L44" s="22">
        <f>(Table63[[#This Row],[Unit sold Filled]]*Table63[[#This Row],[Unit Price Filled]])-(Table63[[#This Row],[Unit sold Filled]]*Table63[[#This Row],[Unit Cost]])</f>
        <v>6071.1</v>
      </c>
      <c r="M44" s="27">
        <f>IF(Table63[[#This Row],[Total Revenue]]=0,0,Table63[[#This Row],[Profit]]/Table63[[#This Row],[Total Revenue]])</f>
        <v>0.39179104477611942</v>
      </c>
      <c r="N44" s="28" t="str">
        <f>YEAR(Table63[[#This Row],[Order Date]])&amp;"-"&amp;TEXT(Table63[[#This Row],[Order Date]],"mm")</f>
        <v>2023-02</v>
      </c>
      <c r="O44" s="22">
        <f>IF(Table63[[#This Row],[Unit sold Filled]]=0,0,Table63[[#This Row],[Total Revenue]]/Table63[[#This Row],[Unit sold Filled]])</f>
        <v>316.24</v>
      </c>
    </row>
    <row r="45" spans="1:15" ht="15" thickBot="1" x14ac:dyDescent="0.35">
      <c r="A45" s="1" t="s">
        <v>72</v>
      </c>
      <c r="B45" s="3" t="s">
        <v>17</v>
      </c>
      <c r="C45" s="1" t="s">
        <v>26</v>
      </c>
      <c r="D45" t="s">
        <v>42</v>
      </c>
      <c r="E45" s="1" t="s">
        <v>24</v>
      </c>
      <c r="F45" s="1" t="s">
        <v>28</v>
      </c>
      <c r="G45" s="2">
        <v>44970</v>
      </c>
      <c r="H45" s="24">
        <v>356</v>
      </c>
      <c r="I45" s="23">
        <v>369</v>
      </c>
      <c r="J45" s="3">
        <v>203.43</v>
      </c>
      <c r="K45">
        <v>131364</v>
      </c>
      <c r="L45" s="22">
        <f>(Table63[[#This Row],[Unit sold Filled]]*Table63[[#This Row],[Unit Price Filled]])-(Table63[[#This Row],[Unit sold Filled]]*Table63[[#This Row],[Unit Cost]])</f>
        <v>58942.92</v>
      </c>
      <c r="M45" s="27">
        <f>IF(Table63[[#This Row],[Total Revenue]]=0,0,Table63[[#This Row],[Profit]]/Table63[[#This Row],[Total Revenue]])</f>
        <v>0.44869918699186989</v>
      </c>
      <c r="N45" s="28" t="str">
        <f>YEAR(Table63[[#This Row],[Order Date]])&amp;"-"&amp;TEXT(Table63[[#This Row],[Order Date]],"mm")</f>
        <v>2023-02</v>
      </c>
      <c r="O45" s="22">
        <f>IF(Table63[[#This Row],[Unit sold Filled]]=0,0,Table63[[#This Row],[Total Revenue]]/Table63[[#This Row],[Unit sold Filled]])</f>
        <v>369</v>
      </c>
    </row>
    <row r="46" spans="1:15" ht="15" thickBot="1" x14ac:dyDescent="0.35">
      <c r="A46" s="15" t="s">
        <v>73</v>
      </c>
      <c r="B46" s="17" t="s">
        <v>17</v>
      </c>
      <c r="C46" s="15" t="s">
        <v>31</v>
      </c>
      <c r="D46" t="s">
        <v>42</v>
      </c>
      <c r="E46" s="15" t="s">
        <v>14</v>
      </c>
      <c r="F46" s="15" t="s">
        <v>20</v>
      </c>
      <c r="G46" s="18">
        <v>44971</v>
      </c>
      <c r="H46" s="24">
        <v>470</v>
      </c>
      <c r="I46" s="23">
        <v>249.64520588235297</v>
      </c>
      <c r="J46" s="17">
        <v>94.56</v>
      </c>
      <c r="K46">
        <v>117333.24676470589</v>
      </c>
      <c r="L46" s="22">
        <f>(Table63[[#This Row],[Unit sold Filled]]*Table63[[#This Row],[Unit Price Filled]])-(Table63[[#This Row],[Unit sold Filled]]*Table63[[#This Row],[Unit Cost]])</f>
        <v>72890.046764705883</v>
      </c>
      <c r="M46" s="27">
        <f>IF(Table63[[#This Row],[Total Revenue]]=0,0,Table63[[#This Row],[Profit]]/Table63[[#This Row],[Total Revenue]])</f>
        <v>0.62122244781034541</v>
      </c>
      <c r="N46" s="28" t="str">
        <f>YEAR(Table63[[#This Row],[Order Date]])&amp;"-"&amp;TEXT(Table63[[#This Row],[Order Date]],"mm")</f>
        <v>2023-02</v>
      </c>
      <c r="O46" s="22">
        <f>IF(Table63[[#This Row],[Unit sold Filled]]=0,0,Table63[[#This Row],[Total Revenue]]/Table63[[#This Row],[Unit sold Filled]])</f>
        <v>249.64520588235297</v>
      </c>
    </row>
    <row r="47" spans="1:15" ht="15" thickBot="1" x14ac:dyDescent="0.35">
      <c r="A47" s="1" t="s">
        <v>74</v>
      </c>
      <c r="B47" s="3" t="s">
        <v>17</v>
      </c>
      <c r="C47" s="1" t="s">
        <v>50</v>
      </c>
      <c r="D47" t="s">
        <v>13</v>
      </c>
      <c r="E47" s="1" t="s">
        <v>14</v>
      </c>
      <c r="F47" s="1" t="s">
        <v>28</v>
      </c>
      <c r="G47" s="2">
        <v>44972</v>
      </c>
      <c r="H47" s="24">
        <v>246</v>
      </c>
      <c r="I47" s="23">
        <v>254.9</v>
      </c>
      <c r="J47" s="3">
        <v>33.83</v>
      </c>
      <c r="K47">
        <v>62705.4</v>
      </c>
      <c r="L47" s="22">
        <f>(Table63[[#This Row],[Unit sold Filled]]*Table63[[#This Row],[Unit Price Filled]])-(Table63[[#This Row],[Unit sold Filled]]*Table63[[#This Row],[Unit Cost]])</f>
        <v>54383.22</v>
      </c>
      <c r="M47" s="27">
        <f>IF(Table63[[#This Row],[Total Revenue]]=0,0,Table63[[#This Row],[Profit]]/Table63[[#This Row],[Total Revenue]])</f>
        <v>0.86728128677912908</v>
      </c>
      <c r="N47" s="28" t="str">
        <f>YEAR(Table63[[#This Row],[Order Date]])&amp;"-"&amp;TEXT(Table63[[#This Row],[Order Date]],"mm")</f>
        <v>2023-02</v>
      </c>
      <c r="O47" s="22">
        <f>IF(Table63[[#This Row],[Unit sold Filled]]=0,0,Table63[[#This Row],[Total Revenue]]/Table63[[#This Row],[Unit sold Filled]])</f>
        <v>254.9</v>
      </c>
    </row>
    <row r="48" spans="1:15" ht="15" thickBot="1" x14ac:dyDescent="0.35">
      <c r="A48" s="15" t="s">
        <v>75</v>
      </c>
      <c r="B48" s="17" t="s">
        <v>17</v>
      </c>
      <c r="C48" s="15" t="s">
        <v>18</v>
      </c>
      <c r="D48" t="s">
        <v>23</v>
      </c>
      <c r="E48" s="15" t="s">
        <v>14</v>
      </c>
      <c r="F48" s="15" t="s">
        <v>28</v>
      </c>
      <c r="G48" s="18">
        <v>44973</v>
      </c>
      <c r="H48" s="24">
        <v>298</v>
      </c>
      <c r="I48" s="23">
        <v>273.93</v>
      </c>
      <c r="J48" s="17">
        <v>311.14</v>
      </c>
      <c r="K48">
        <v>81631.14</v>
      </c>
      <c r="L48" s="22">
        <f>(Table63[[#This Row],[Unit sold Filled]]*Table63[[#This Row],[Unit Price Filled]])-(Table63[[#This Row],[Unit sold Filled]]*Table63[[#This Row],[Unit Cost]])</f>
        <v>-11088.580000000002</v>
      </c>
      <c r="M48" s="27">
        <f>IF(Table63[[#This Row],[Total Revenue]]=0,0,Table63[[#This Row],[Profit]]/Table63[[#This Row],[Total Revenue]])</f>
        <v>-0.1358376227503377</v>
      </c>
      <c r="N48" s="28" t="str">
        <f>YEAR(Table63[[#This Row],[Order Date]])&amp;"-"&amp;TEXT(Table63[[#This Row],[Order Date]],"mm")</f>
        <v>2023-02</v>
      </c>
      <c r="O48" s="22">
        <f>IF(Table63[[#This Row],[Unit sold Filled]]=0,0,Table63[[#This Row],[Total Revenue]]/Table63[[#This Row],[Unit sold Filled]])</f>
        <v>273.93</v>
      </c>
    </row>
    <row r="49" spans="1:15" ht="15" thickBot="1" x14ac:dyDescent="0.35">
      <c r="A49" s="1" t="s">
        <v>76</v>
      </c>
      <c r="B49" s="3" t="s">
        <v>11</v>
      </c>
      <c r="C49" s="1" t="s">
        <v>12</v>
      </c>
      <c r="D49" t="s">
        <v>42</v>
      </c>
      <c r="E49" s="1" t="s">
        <v>24</v>
      </c>
      <c r="F49" s="1" t="s">
        <v>28</v>
      </c>
      <c r="G49" s="2">
        <v>44974</v>
      </c>
      <c r="H49" s="24">
        <v>271</v>
      </c>
      <c r="I49" s="23">
        <v>259.43</v>
      </c>
      <c r="J49" s="3">
        <v>50.57</v>
      </c>
      <c r="K49">
        <v>70305.53</v>
      </c>
      <c r="L49" s="22">
        <f>(Table63[[#This Row],[Unit sold Filled]]*Table63[[#This Row],[Unit Price Filled]])-(Table63[[#This Row],[Unit sold Filled]]*Table63[[#This Row],[Unit Cost]])</f>
        <v>56601.06</v>
      </c>
      <c r="M49" s="27">
        <f>IF(Table63[[#This Row],[Total Revenue]]=0,0,Table63[[#This Row],[Profit]]/Table63[[#This Row],[Total Revenue]])</f>
        <v>0.80507265929152372</v>
      </c>
      <c r="N49" s="28" t="str">
        <f>YEAR(Table63[[#This Row],[Order Date]])&amp;"-"&amp;TEXT(Table63[[#This Row],[Order Date]],"mm")</f>
        <v>2023-02</v>
      </c>
      <c r="O49" s="22">
        <f>IF(Table63[[#This Row],[Unit sold Filled]]=0,0,Table63[[#This Row],[Total Revenue]]/Table63[[#This Row],[Unit sold Filled]])</f>
        <v>259.43</v>
      </c>
    </row>
    <row r="50" spans="1:15" ht="15" thickBot="1" x14ac:dyDescent="0.35">
      <c r="A50" s="15" t="s">
        <v>77</v>
      </c>
      <c r="B50" s="17" t="s">
        <v>48</v>
      </c>
      <c r="C50" s="15" t="s">
        <v>18</v>
      </c>
      <c r="D50" t="s">
        <v>23</v>
      </c>
      <c r="E50" s="15" t="s">
        <v>24</v>
      </c>
      <c r="F50" s="15" t="s">
        <v>15</v>
      </c>
      <c r="G50" s="18">
        <v>44975</v>
      </c>
      <c r="H50" s="24">
        <v>225</v>
      </c>
      <c r="I50" s="23">
        <v>296.08999999999997</v>
      </c>
      <c r="J50" s="17">
        <v>238.53</v>
      </c>
      <c r="K50">
        <v>66620.25</v>
      </c>
      <c r="L50" s="22">
        <f>(Table63[[#This Row],[Unit sold Filled]]*Table63[[#This Row],[Unit Price Filled]])-(Table63[[#This Row],[Unit sold Filled]]*Table63[[#This Row],[Unit Cost]])</f>
        <v>12951</v>
      </c>
      <c r="M50" s="27">
        <f>IF(Table63[[#This Row],[Total Revenue]]=0,0,Table63[[#This Row],[Profit]]/Table63[[#This Row],[Total Revenue]])</f>
        <v>0.19440035124455401</v>
      </c>
      <c r="N50" s="28" t="str">
        <f>YEAR(Table63[[#This Row],[Order Date]])&amp;"-"&amp;TEXT(Table63[[#This Row],[Order Date]],"mm")</f>
        <v>2023-02</v>
      </c>
      <c r="O50" s="22">
        <f>IF(Table63[[#This Row],[Unit sold Filled]]=0,0,Table63[[#This Row],[Total Revenue]]/Table63[[#This Row],[Unit sold Filled]])</f>
        <v>296.08999999999997</v>
      </c>
    </row>
    <row r="51" spans="1:15" ht="15" thickBot="1" x14ac:dyDescent="0.35">
      <c r="A51" s="1" t="s">
        <v>78</v>
      </c>
      <c r="B51" s="3" t="s">
        <v>17</v>
      </c>
      <c r="C51" s="1" t="s">
        <v>12</v>
      </c>
      <c r="D51" t="s">
        <v>19</v>
      </c>
      <c r="E51" s="1" t="s">
        <v>14</v>
      </c>
      <c r="F51" s="1" t="s">
        <v>15</v>
      </c>
      <c r="G51" s="2">
        <v>44976</v>
      </c>
      <c r="H51" s="24">
        <v>156</v>
      </c>
      <c r="I51" s="23">
        <v>19.55</v>
      </c>
      <c r="J51" s="3">
        <v>374.71</v>
      </c>
      <c r="K51">
        <v>3049.8</v>
      </c>
      <c r="L51" s="22">
        <f>(Table63[[#This Row],[Unit sold Filled]]*Table63[[#This Row],[Unit Price Filled]])-(Table63[[#This Row],[Unit sold Filled]]*Table63[[#This Row],[Unit Cost]])</f>
        <v>-55404.959999999992</v>
      </c>
      <c r="M51" s="27">
        <f>IF(Table63[[#This Row],[Total Revenue]]=0,0,Table63[[#This Row],[Profit]]/Table63[[#This Row],[Total Revenue]])</f>
        <v>-18.166751918158564</v>
      </c>
      <c r="N51" s="28" t="str">
        <f>YEAR(Table63[[#This Row],[Order Date]])&amp;"-"&amp;TEXT(Table63[[#This Row],[Order Date]],"mm")</f>
        <v>2023-02</v>
      </c>
      <c r="O51" s="22">
        <f>IF(Table63[[#This Row],[Unit sold Filled]]=0,0,Table63[[#This Row],[Total Revenue]]/Table63[[#This Row],[Unit sold Filled]])</f>
        <v>19.55</v>
      </c>
    </row>
    <row r="52" spans="1:15" ht="15" thickBot="1" x14ac:dyDescent="0.35">
      <c r="A52" s="15" t="s">
        <v>79</v>
      </c>
      <c r="B52" s="17" t="s">
        <v>11</v>
      </c>
      <c r="C52" s="15" t="s">
        <v>18</v>
      </c>
      <c r="D52" t="s">
        <v>27</v>
      </c>
      <c r="E52" s="15" t="s">
        <v>14</v>
      </c>
      <c r="F52" s="15" t="s">
        <v>28</v>
      </c>
      <c r="G52" s="18">
        <v>44977</v>
      </c>
      <c r="H52" s="24">
        <v>345</v>
      </c>
      <c r="I52" s="23">
        <v>200.78</v>
      </c>
      <c r="J52" s="17">
        <v>350.69</v>
      </c>
      <c r="K52">
        <v>69269.100000000006</v>
      </c>
      <c r="L52" s="22">
        <f>(Table63[[#This Row],[Unit sold Filled]]*Table63[[#This Row],[Unit Price Filled]])-(Table63[[#This Row],[Unit sold Filled]]*Table63[[#This Row],[Unit Cost]])</f>
        <v>-51718.95</v>
      </c>
      <c r="M52" s="27">
        <f>IF(Table63[[#This Row],[Total Revenue]]=0,0,Table63[[#This Row],[Profit]]/Table63[[#This Row],[Total Revenue]])</f>
        <v>-0.74663811136567382</v>
      </c>
      <c r="N52" s="28" t="str">
        <f>YEAR(Table63[[#This Row],[Order Date]])&amp;"-"&amp;TEXT(Table63[[#This Row],[Order Date]],"mm")</f>
        <v>2023-02</v>
      </c>
      <c r="O52" s="22">
        <f>IF(Table63[[#This Row],[Unit sold Filled]]=0,0,Table63[[#This Row],[Total Revenue]]/Table63[[#This Row],[Unit sold Filled]])</f>
        <v>200.78000000000003</v>
      </c>
    </row>
    <row r="53" spans="1:15" ht="15" thickBot="1" x14ac:dyDescent="0.35">
      <c r="A53" s="1" t="s">
        <v>80</v>
      </c>
      <c r="B53" s="3" t="s">
        <v>48</v>
      </c>
      <c r="C53" s="1" t="s">
        <v>50</v>
      </c>
      <c r="D53" t="s">
        <v>19</v>
      </c>
      <c r="E53" s="1" t="s">
        <v>14</v>
      </c>
      <c r="F53" s="1" t="s">
        <v>20</v>
      </c>
      <c r="G53" s="2">
        <v>44978</v>
      </c>
      <c r="H53" s="24">
        <v>177</v>
      </c>
      <c r="I53" s="23">
        <v>305.06</v>
      </c>
      <c r="J53" s="3">
        <v>112.55</v>
      </c>
      <c r="K53">
        <v>53995.62</v>
      </c>
      <c r="L53" s="22">
        <f>(Table63[[#This Row],[Unit sold Filled]]*Table63[[#This Row],[Unit Price Filled]])-(Table63[[#This Row],[Unit sold Filled]]*Table63[[#This Row],[Unit Cost]])</f>
        <v>34074.270000000004</v>
      </c>
      <c r="M53" s="27">
        <f>IF(Table63[[#This Row],[Total Revenue]]=0,0,Table63[[#This Row],[Profit]]/Table63[[#This Row],[Total Revenue]])</f>
        <v>0.63105618566839317</v>
      </c>
      <c r="N53" s="28" t="str">
        <f>YEAR(Table63[[#This Row],[Order Date]])&amp;"-"&amp;TEXT(Table63[[#This Row],[Order Date]],"mm")</f>
        <v>2023-02</v>
      </c>
      <c r="O53" s="22">
        <f>IF(Table63[[#This Row],[Unit sold Filled]]=0,0,Table63[[#This Row],[Total Revenue]]/Table63[[#This Row],[Unit sold Filled]])</f>
        <v>305.06</v>
      </c>
    </row>
    <row r="54" spans="1:15" ht="15" thickBot="1" x14ac:dyDescent="0.35">
      <c r="A54" s="15" t="s">
        <v>81</v>
      </c>
      <c r="B54" s="17" t="s">
        <v>11</v>
      </c>
      <c r="C54" s="15" t="s">
        <v>12</v>
      </c>
      <c r="D54" t="s">
        <v>19</v>
      </c>
      <c r="E54" s="15" t="s">
        <v>24</v>
      </c>
      <c r="F54" s="15" t="s">
        <v>15</v>
      </c>
      <c r="G54" s="18">
        <v>44979</v>
      </c>
      <c r="H54" s="24">
        <v>101</v>
      </c>
      <c r="I54" s="23">
        <v>300.87</v>
      </c>
      <c r="J54" s="17">
        <v>340.88</v>
      </c>
      <c r="K54">
        <v>30387.87</v>
      </c>
      <c r="L54" s="22">
        <f>(Table63[[#This Row],[Unit sold Filled]]*Table63[[#This Row],[Unit Price Filled]])-(Table63[[#This Row],[Unit sold Filled]]*Table63[[#This Row],[Unit Cost]])</f>
        <v>-4041.0099999999984</v>
      </c>
      <c r="M54" s="27">
        <f>IF(Table63[[#This Row],[Total Revenue]]=0,0,Table63[[#This Row],[Profit]]/Table63[[#This Row],[Total Revenue]])</f>
        <v>-0.1329810217037258</v>
      </c>
      <c r="N54" s="28" t="str">
        <f>YEAR(Table63[[#This Row],[Order Date]])&amp;"-"&amp;TEXT(Table63[[#This Row],[Order Date]],"mm")</f>
        <v>2023-02</v>
      </c>
      <c r="O54" s="22">
        <f>IF(Table63[[#This Row],[Unit sold Filled]]=0,0,Table63[[#This Row],[Total Revenue]]/Table63[[#This Row],[Unit sold Filled]])</f>
        <v>300.87</v>
      </c>
    </row>
    <row r="55" spans="1:15" ht="15" thickBot="1" x14ac:dyDescent="0.35">
      <c r="A55" s="1" t="s">
        <v>82</v>
      </c>
      <c r="B55" s="3" t="s">
        <v>17</v>
      </c>
      <c r="C55" s="1" t="s">
        <v>31</v>
      </c>
      <c r="D55" t="s">
        <v>13</v>
      </c>
      <c r="E55" s="1" t="s">
        <v>24</v>
      </c>
      <c r="F55" s="1" t="s">
        <v>20</v>
      </c>
      <c r="G55" s="2">
        <v>44980</v>
      </c>
      <c r="H55" s="24">
        <v>362</v>
      </c>
      <c r="I55" s="23">
        <v>397.51</v>
      </c>
      <c r="J55" s="3">
        <v>2.13</v>
      </c>
      <c r="K55">
        <v>143898.62</v>
      </c>
      <c r="L55" s="22">
        <f>(Table63[[#This Row],[Unit sold Filled]]*Table63[[#This Row],[Unit Price Filled]])-(Table63[[#This Row],[Unit sold Filled]]*Table63[[#This Row],[Unit Cost]])</f>
        <v>143127.56</v>
      </c>
      <c r="M55" s="27">
        <f>IF(Table63[[#This Row],[Total Revenue]]=0,0,Table63[[#This Row],[Profit]]/Table63[[#This Row],[Total Revenue]])</f>
        <v>0.99464164423536516</v>
      </c>
      <c r="N55" s="28" t="str">
        <f>YEAR(Table63[[#This Row],[Order Date]])&amp;"-"&amp;TEXT(Table63[[#This Row],[Order Date]],"mm")</f>
        <v>2023-02</v>
      </c>
      <c r="O55" s="22">
        <f>IF(Table63[[#This Row],[Unit sold Filled]]=0,0,Table63[[#This Row],[Total Revenue]]/Table63[[#This Row],[Unit sold Filled]])</f>
        <v>397.51</v>
      </c>
    </row>
    <row r="56" spans="1:15" ht="15" thickBot="1" x14ac:dyDescent="0.35">
      <c r="A56" s="15" t="s">
        <v>83</v>
      </c>
      <c r="B56" s="17" t="s">
        <v>11</v>
      </c>
      <c r="C56" s="15" t="s">
        <v>18</v>
      </c>
      <c r="D56" t="s">
        <v>27</v>
      </c>
      <c r="E56" s="15" t="s">
        <v>24</v>
      </c>
      <c r="F56" s="15" t="s">
        <v>28</v>
      </c>
      <c r="G56" s="18">
        <v>44981</v>
      </c>
      <c r="H56" s="24">
        <v>68</v>
      </c>
      <c r="I56" s="23">
        <v>329.23</v>
      </c>
      <c r="J56" s="17">
        <v>9.0399999999999991</v>
      </c>
      <c r="K56">
        <v>22387.64</v>
      </c>
      <c r="L56" s="22">
        <f>(Table63[[#This Row],[Unit sold Filled]]*Table63[[#This Row],[Unit Price Filled]])-(Table63[[#This Row],[Unit sold Filled]]*Table63[[#This Row],[Unit Cost]])</f>
        <v>21772.92</v>
      </c>
      <c r="M56" s="27">
        <f>IF(Table63[[#This Row],[Total Revenue]]=0,0,Table63[[#This Row],[Profit]]/Table63[[#This Row],[Total Revenue]])</f>
        <v>0.9725419919205418</v>
      </c>
      <c r="N56" s="28" t="str">
        <f>YEAR(Table63[[#This Row],[Order Date]])&amp;"-"&amp;TEXT(Table63[[#This Row],[Order Date]],"mm")</f>
        <v>2023-02</v>
      </c>
      <c r="O56" s="22">
        <f>IF(Table63[[#This Row],[Unit sold Filled]]=0,0,Table63[[#This Row],[Total Revenue]]/Table63[[#This Row],[Unit sold Filled]])</f>
        <v>329.23</v>
      </c>
    </row>
    <row r="57" spans="1:15" ht="15" thickBot="1" x14ac:dyDescent="0.35">
      <c r="A57" s="1" t="s">
        <v>84</v>
      </c>
      <c r="B57" s="3" t="s">
        <v>17</v>
      </c>
      <c r="C57" s="1" t="s">
        <v>18</v>
      </c>
      <c r="D57" t="s">
        <v>19</v>
      </c>
      <c r="E57" s="1" t="s">
        <v>24</v>
      </c>
      <c r="F57" s="1" t="s">
        <v>28</v>
      </c>
      <c r="G57" s="2">
        <v>44982</v>
      </c>
      <c r="H57" s="24">
        <v>68</v>
      </c>
      <c r="I57" s="23">
        <v>496.11</v>
      </c>
      <c r="J57" s="3">
        <v>241.82</v>
      </c>
      <c r="K57">
        <v>33735.480000000003</v>
      </c>
      <c r="L57" s="22">
        <f>(Table63[[#This Row],[Unit sold Filled]]*Table63[[#This Row],[Unit Price Filled]])-(Table63[[#This Row],[Unit sold Filled]]*Table63[[#This Row],[Unit Cost]])</f>
        <v>17291.720000000005</v>
      </c>
      <c r="M57" s="27">
        <f>IF(Table63[[#This Row],[Total Revenue]]=0,0,Table63[[#This Row],[Profit]]/Table63[[#This Row],[Total Revenue]])</f>
        <v>0.51256777730745207</v>
      </c>
      <c r="N57" s="28" t="str">
        <f>YEAR(Table63[[#This Row],[Order Date]])&amp;"-"&amp;TEXT(Table63[[#This Row],[Order Date]],"mm")</f>
        <v>2023-02</v>
      </c>
      <c r="O57" s="22">
        <f>IF(Table63[[#This Row],[Unit sold Filled]]=0,0,Table63[[#This Row],[Total Revenue]]/Table63[[#This Row],[Unit sold Filled]])</f>
        <v>496.11000000000007</v>
      </c>
    </row>
    <row r="58" spans="1:15" ht="15" thickBot="1" x14ac:dyDescent="0.35">
      <c r="A58" s="15" t="s">
        <v>85</v>
      </c>
      <c r="B58" s="17" t="s">
        <v>17</v>
      </c>
      <c r="C58" s="15" t="s">
        <v>12</v>
      </c>
      <c r="D58" t="s">
        <v>19</v>
      </c>
      <c r="E58" s="15" t="s">
        <v>14</v>
      </c>
      <c r="F58" s="15" t="s">
        <v>15</v>
      </c>
      <c r="G58" s="18">
        <v>44983</v>
      </c>
      <c r="H58" s="24">
        <v>313</v>
      </c>
      <c r="I58" s="23">
        <v>145.51</v>
      </c>
      <c r="J58" s="17">
        <v>147.19</v>
      </c>
      <c r="K58">
        <v>45544.63</v>
      </c>
      <c r="L58" s="22">
        <f>(Table63[[#This Row],[Unit sold Filled]]*Table63[[#This Row],[Unit Price Filled]])-(Table63[[#This Row],[Unit sold Filled]]*Table63[[#This Row],[Unit Cost]])</f>
        <v>-525.84000000000378</v>
      </c>
      <c r="M58" s="27">
        <f>IF(Table63[[#This Row],[Total Revenue]]=0,0,Table63[[#This Row],[Profit]]/Table63[[#This Row],[Total Revenue]])</f>
        <v>-1.1545598240670828E-2</v>
      </c>
      <c r="N58" s="28" t="str">
        <f>YEAR(Table63[[#This Row],[Order Date]])&amp;"-"&amp;TEXT(Table63[[#This Row],[Order Date]],"mm")</f>
        <v>2023-02</v>
      </c>
      <c r="O58" s="22">
        <f>IF(Table63[[#This Row],[Unit sold Filled]]=0,0,Table63[[#This Row],[Total Revenue]]/Table63[[#This Row],[Unit sold Filled]])</f>
        <v>145.51</v>
      </c>
    </row>
    <row r="59" spans="1:15" ht="15" thickBot="1" x14ac:dyDescent="0.35">
      <c r="A59" s="1" t="s">
        <v>86</v>
      </c>
      <c r="B59" s="3" t="s">
        <v>22</v>
      </c>
      <c r="C59" s="1" t="s">
        <v>31</v>
      </c>
      <c r="D59" t="s">
        <v>27</v>
      </c>
      <c r="E59" s="1" t="s">
        <v>14</v>
      </c>
      <c r="F59" s="1" t="s">
        <v>28</v>
      </c>
      <c r="G59" s="2">
        <v>44984</v>
      </c>
      <c r="H59" s="24">
        <v>178</v>
      </c>
      <c r="I59" s="23">
        <v>182.78</v>
      </c>
      <c r="J59" s="3">
        <v>155.81</v>
      </c>
      <c r="K59">
        <v>32534.84</v>
      </c>
      <c r="L59" s="22">
        <f>(Table63[[#This Row],[Unit sold Filled]]*Table63[[#This Row],[Unit Price Filled]])-(Table63[[#This Row],[Unit sold Filled]]*Table63[[#This Row],[Unit Cost]])</f>
        <v>4800.66</v>
      </c>
      <c r="M59" s="27">
        <f>IF(Table63[[#This Row],[Total Revenue]]=0,0,Table63[[#This Row],[Profit]]/Table63[[#This Row],[Total Revenue]])</f>
        <v>0.14755443702812124</v>
      </c>
      <c r="N59" s="28" t="str">
        <f>YEAR(Table63[[#This Row],[Order Date]])&amp;"-"&amp;TEXT(Table63[[#This Row],[Order Date]],"mm")</f>
        <v>2023-02</v>
      </c>
      <c r="O59" s="22">
        <f>IF(Table63[[#This Row],[Unit sold Filled]]=0,0,Table63[[#This Row],[Total Revenue]]/Table63[[#This Row],[Unit sold Filled]])</f>
        <v>182.78</v>
      </c>
    </row>
    <row r="60" spans="1:15" ht="15" thickBot="1" x14ac:dyDescent="0.35">
      <c r="A60" s="15" t="s">
        <v>87</v>
      </c>
      <c r="B60" s="17" t="s">
        <v>11</v>
      </c>
      <c r="C60" s="15" t="s">
        <v>31</v>
      </c>
      <c r="D60" t="s">
        <v>27</v>
      </c>
      <c r="E60" s="15" t="s">
        <v>14</v>
      </c>
      <c r="F60" s="15" t="s">
        <v>15</v>
      </c>
      <c r="G60" s="18">
        <v>44985</v>
      </c>
      <c r="H60" s="24">
        <v>278</v>
      </c>
      <c r="I60" s="23">
        <v>195</v>
      </c>
      <c r="J60" s="17">
        <v>226.65</v>
      </c>
      <c r="K60">
        <v>54210</v>
      </c>
      <c r="L60" s="22">
        <f>(Table63[[#This Row],[Unit sold Filled]]*Table63[[#This Row],[Unit Price Filled]])-(Table63[[#This Row],[Unit sold Filled]]*Table63[[#This Row],[Unit Cost]])</f>
        <v>-8798.7000000000044</v>
      </c>
      <c r="M60" s="27">
        <f>IF(Table63[[#This Row],[Total Revenue]]=0,0,Table63[[#This Row],[Profit]]/Table63[[#This Row],[Total Revenue]])</f>
        <v>-0.16230769230769237</v>
      </c>
      <c r="N60" s="28" t="str">
        <f>YEAR(Table63[[#This Row],[Order Date]])&amp;"-"&amp;TEXT(Table63[[#This Row],[Order Date]],"mm")</f>
        <v>2023-02</v>
      </c>
      <c r="O60" s="22">
        <f>IF(Table63[[#This Row],[Unit sold Filled]]=0,0,Table63[[#This Row],[Total Revenue]]/Table63[[#This Row],[Unit sold Filled]])</f>
        <v>195</v>
      </c>
    </row>
    <row r="61" spans="1:15" ht="15" thickBot="1" x14ac:dyDescent="0.35">
      <c r="A61" s="1" t="s">
        <v>88</v>
      </c>
      <c r="B61" s="3" t="s">
        <v>22</v>
      </c>
      <c r="C61" s="1" t="s">
        <v>50</v>
      </c>
      <c r="D61" t="s">
        <v>19</v>
      </c>
      <c r="E61" s="1" t="s">
        <v>14</v>
      </c>
      <c r="F61" s="1" t="s">
        <v>28</v>
      </c>
      <c r="G61" s="2">
        <v>44986</v>
      </c>
      <c r="H61" s="24">
        <v>372</v>
      </c>
      <c r="I61" s="23">
        <v>235.58</v>
      </c>
      <c r="J61" s="3">
        <v>78.33</v>
      </c>
      <c r="K61">
        <v>87635.760000000009</v>
      </c>
      <c r="L61" s="22">
        <f>(Table63[[#This Row],[Unit sold Filled]]*Table63[[#This Row],[Unit Price Filled]])-(Table63[[#This Row],[Unit sold Filled]]*Table63[[#This Row],[Unit Cost]])</f>
        <v>58497.000000000015</v>
      </c>
      <c r="M61" s="27">
        <f>IF(Table63[[#This Row],[Total Revenue]]=0,0,Table63[[#This Row],[Profit]]/Table63[[#This Row],[Total Revenue]])</f>
        <v>0.66750148569488077</v>
      </c>
      <c r="N61" s="28" t="str">
        <f>YEAR(Table63[[#This Row],[Order Date]])&amp;"-"&amp;TEXT(Table63[[#This Row],[Order Date]],"mm")</f>
        <v>2023-03</v>
      </c>
      <c r="O61" s="22">
        <f>IF(Table63[[#This Row],[Unit sold Filled]]=0,0,Table63[[#This Row],[Total Revenue]]/Table63[[#This Row],[Unit sold Filled]])</f>
        <v>235.58</v>
      </c>
    </row>
    <row r="62" spans="1:15" ht="15" thickBot="1" x14ac:dyDescent="0.35">
      <c r="A62" s="15" t="s">
        <v>89</v>
      </c>
      <c r="B62" s="17" t="s">
        <v>11</v>
      </c>
      <c r="C62" s="15" t="s">
        <v>31</v>
      </c>
      <c r="D62" t="s">
        <v>27</v>
      </c>
      <c r="E62" s="15" t="s">
        <v>24</v>
      </c>
      <c r="F62" s="15" t="s">
        <v>28</v>
      </c>
      <c r="G62" s="18">
        <v>44987</v>
      </c>
      <c r="H62" s="24">
        <v>54</v>
      </c>
      <c r="I62" s="23">
        <v>418.82</v>
      </c>
      <c r="J62" s="17">
        <v>86.28</v>
      </c>
      <c r="K62">
        <v>22616.28</v>
      </c>
      <c r="L62" s="22">
        <f>(Table63[[#This Row],[Unit sold Filled]]*Table63[[#This Row],[Unit Price Filled]])-(Table63[[#This Row],[Unit sold Filled]]*Table63[[#This Row],[Unit Cost]])</f>
        <v>17957.16</v>
      </c>
      <c r="M62" s="27">
        <f>IF(Table63[[#This Row],[Total Revenue]]=0,0,Table63[[#This Row],[Profit]]/Table63[[#This Row],[Total Revenue]])</f>
        <v>0.79399264600544395</v>
      </c>
      <c r="N62" s="28" t="str">
        <f>YEAR(Table63[[#This Row],[Order Date]])&amp;"-"&amp;TEXT(Table63[[#This Row],[Order Date]],"mm")</f>
        <v>2023-03</v>
      </c>
      <c r="O62" s="22">
        <f>IF(Table63[[#This Row],[Unit sold Filled]]=0,0,Table63[[#This Row],[Total Revenue]]/Table63[[#This Row],[Unit sold Filled]])</f>
        <v>418.82</v>
      </c>
    </row>
    <row r="63" spans="1:15" ht="15" thickBot="1" x14ac:dyDescent="0.35">
      <c r="A63" s="1" t="s">
        <v>90</v>
      </c>
      <c r="B63" s="3" t="s">
        <v>11</v>
      </c>
      <c r="C63" s="1" t="s">
        <v>31</v>
      </c>
      <c r="D63" t="s">
        <v>19</v>
      </c>
      <c r="E63" s="1" t="s">
        <v>24</v>
      </c>
      <c r="F63" s="1" t="s">
        <v>15</v>
      </c>
      <c r="G63" s="2">
        <v>44988</v>
      </c>
      <c r="H63" s="24">
        <v>354</v>
      </c>
      <c r="I63" s="23">
        <v>121.72</v>
      </c>
      <c r="J63" s="3">
        <v>194.87</v>
      </c>
      <c r="K63">
        <v>43088.88</v>
      </c>
      <c r="L63" s="22">
        <f>(Table63[[#This Row],[Unit sold Filled]]*Table63[[#This Row],[Unit Price Filled]])-(Table63[[#This Row],[Unit sold Filled]]*Table63[[#This Row],[Unit Cost]])</f>
        <v>-25895.1</v>
      </c>
      <c r="M63" s="27">
        <f>IF(Table63[[#This Row],[Total Revenue]]=0,0,Table63[[#This Row],[Profit]]/Table63[[#This Row],[Total Revenue]])</f>
        <v>-0.60096943805455139</v>
      </c>
      <c r="N63" s="28" t="str">
        <f>YEAR(Table63[[#This Row],[Order Date]])&amp;"-"&amp;TEXT(Table63[[#This Row],[Order Date]],"mm")</f>
        <v>2023-03</v>
      </c>
      <c r="O63" s="22">
        <f>IF(Table63[[#This Row],[Unit sold Filled]]=0,0,Table63[[#This Row],[Total Revenue]]/Table63[[#This Row],[Unit sold Filled]])</f>
        <v>121.72</v>
      </c>
    </row>
    <row r="64" spans="1:15" ht="15" thickBot="1" x14ac:dyDescent="0.35">
      <c r="A64" s="15" t="s">
        <v>91</v>
      </c>
      <c r="B64" s="17" t="s">
        <v>22</v>
      </c>
      <c r="C64" s="15" t="s">
        <v>31</v>
      </c>
      <c r="D64" t="s">
        <v>19</v>
      </c>
      <c r="E64" s="15" t="s">
        <v>14</v>
      </c>
      <c r="F64" s="15" t="s">
        <v>15</v>
      </c>
      <c r="G64" s="18">
        <v>44989</v>
      </c>
      <c r="H64" s="24">
        <v>190</v>
      </c>
      <c r="I64" s="23">
        <v>389.12</v>
      </c>
      <c r="J64" s="17">
        <v>302.19</v>
      </c>
      <c r="K64">
        <v>73932.800000000003</v>
      </c>
      <c r="L64" s="22">
        <f>(Table63[[#This Row],[Unit sold Filled]]*Table63[[#This Row],[Unit Price Filled]])-(Table63[[#This Row],[Unit sold Filled]]*Table63[[#This Row],[Unit Cost]])</f>
        <v>16516.700000000004</v>
      </c>
      <c r="M64" s="27">
        <f>IF(Table63[[#This Row],[Total Revenue]]=0,0,Table63[[#This Row],[Profit]]/Table63[[#This Row],[Total Revenue]])</f>
        <v>0.22340152138157901</v>
      </c>
      <c r="N64" s="28" t="str">
        <f>YEAR(Table63[[#This Row],[Order Date]])&amp;"-"&amp;TEXT(Table63[[#This Row],[Order Date]],"mm")</f>
        <v>2023-03</v>
      </c>
      <c r="O64" s="22">
        <f>IF(Table63[[#This Row],[Unit sold Filled]]=0,0,Table63[[#This Row],[Total Revenue]]/Table63[[#This Row],[Unit sold Filled]])</f>
        <v>389.12</v>
      </c>
    </row>
    <row r="65" spans="1:15" ht="15" thickBot="1" x14ac:dyDescent="0.35">
      <c r="A65" s="1" t="s">
        <v>92</v>
      </c>
      <c r="B65" s="3" t="s">
        <v>17</v>
      </c>
      <c r="C65" s="1" t="s">
        <v>26</v>
      </c>
      <c r="D65" t="s">
        <v>13</v>
      </c>
      <c r="E65" s="1" t="s">
        <v>14</v>
      </c>
      <c r="F65" s="1" t="s">
        <v>15</v>
      </c>
      <c r="G65" s="2">
        <v>44990</v>
      </c>
      <c r="H65" s="24">
        <v>179</v>
      </c>
      <c r="I65" s="23">
        <v>205.63</v>
      </c>
      <c r="J65" s="3">
        <v>248.56</v>
      </c>
      <c r="K65">
        <v>36807.769999999997</v>
      </c>
      <c r="L65" s="22">
        <f>(Table63[[#This Row],[Unit sold Filled]]*Table63[[#This Row],[Unit Price Filled]])-(Table63[[#This Row],[Unit sold Filled]]*Table63[[#This Row],[Unit Cost]])</f>
        <v>-7684.4700000000012</v>
      </c>
      <c r="M65" s="27">
        <f>IF(Table63[[#This Row],[Total Revenue]]=0,0,Table63[[#This Row],[Profit]]/Table63[[#This Row],[Total Revenue]])</f>
        <v>-0.20877303895346014</v>
      </c>
      <c r="N65" s="28" t="str">
        <f>YEAR(Table63[[#This Row],[Order Date]])&amp;"-"&amp;TEXT(Table63[[#This Row],[Order Date]],"mm")</f>
        <v>2023-03</v>
      </c>
      <c r="O65" s="22">
        <f>IF(Table63[[#This Row],[Unit sold Filled]]=0,0,Table63[[#This Row],[Total Revenue]]/Table63[[#This Row],[Unit sold Filled]])</f>
        <v>205.63</v>
      </c>
    </row>
    <row r="66" spans="1:15" ht="15" thickBot="1" x14ac:dyDescent="0.35">
      <c r="A66" s="15" t="s">
        <v>93</v>
      </c>
      <c r="B66" s="17" t="s">
        <v>11</v>
      </c>
      <c r="C66" s="15" t="s">
        <v>50</v>
      </c>
      <c r="D66" t="s">
        <v>42</v>
      </c>
      <c r="E66" s="15" t="s">
        <v>24</v>
      </c>
      <c r="F66" s="15" t="s">
        <v>28</v>
      </c>
      <c r="G66" s="18">
        <v>44991</v>
      </c>
      <c r="H66" s="24">
        <v>365</v>
      </c>
      <c r="I66" s="23">
        <v>302.92</v>
      </c>
      <c r="J66" s="17">
        <v>120.35</v>
      </c>
      <c r="K66">
        <v>110565.8</v>
      </c>
      <c r="L66" s="22">
        <f>(Table63[[#This Row],[Unit sold Filled]]*Table63[[#This Row],[Unit Price Filled]])-(Table63[[#This Row],[Unit sold Filled]]*Table63[[#This Row],[Unit Cost]])</f>
        <v>66638.05</v>
      </c>
      <c r="M66" s="27">
        <f>IF(Table63[[#This Row],[Total Revenue]]=0,0,Table63[[#This Row],[Profit]]/Table63[[#This Row],[Total Revenue]])</f>
        <v>0.60270038293938999</v>
      </c>
      <c r="N66" s="28" t="str">
        <f>YEAR(Table63[[#This Row],[Order Date]])&amp;"-"&amp;TEXT(Table63[[#This Row],[Order Date]],"mm")</f>
        <v>2023-03</v>
      </c>
      <c r="O66" s="22">
        <f>IF(Table63[[#This Row],[Unit sold Filled]]=0,0,Table63[[#This Row],[Total Revenue]]/Table63[[#This Row],[Unit sold Filled]])</f>
        <v>302.92</v>
      </c>
    </row>
    <row r="67" spans="1:15" ht="15" thickBot="1" x14ac:dyDescent="0.35">
      <c r="A67" s="1" t="s">
        <v>94</v>
      </c>
      <c r="B67" s="3" t="s">
        <v>48</v>
      </c>
      <c r="C67" s="1" t="s">
        <v>18</v>
      </c>
      <c r="D67" t="s">
        <v>19</v>
      </c>
      <c r="E67" s="1" t="s">
        <v>14</v>
      </c>
      <c r="F67" s="1" t="s">
        <v>28</v>
      </c>
      <c r="G67" s="2">
        <v>44992</v>
      </c>
      <c r="H67" s="24">
        <v>200</v>
      </c>
      <c r="I67" s="23">
        <v>318.11</v>
      </c>
      <c r="J67" s="3">
        <v>173.27</v>
      </c>
      <c r="K67">
        <v>63622</v>
      </c>
      <c r="L67" s="22">
        <f>(Table63[[#This Row],[Unit sold Filled]]*Table63[[#This Row],[Unit Price Filled]])-(Table63[[#This Row],[Unit sold Filled]]*Table63[[#This Row],[Unit Cost]])</f>
        <v>28968</v>
      </c>
      <c r="M67" s="27">
        <f>IF(Table63[[#This Row],[Total Revenue]]=0,0,Table63[[#This Row],[Profit]]/Table63[[#This Row],[Total Revenue]])</f>
        <v>0.4553141994907422</v>
      </c>
      <c r="N67" s="28" t="str">
        <f>YEAR(Table63[[#This Row],[Order Date]])&amp;"-"&amp;TEXT(Table63[[#This Row],[Order Date]],"mm")</f>
        <v>2023-03</v>
      </c>
      <c r="O67" s="22">
        <f>IF(Table63[[#This Row],[Unit sold Filled]]=0,0,Table63[[#This Row],[Total Revenue]]/Table63[[#This Row],[Unit sold Filled]])</f>
        <v>318.11</v>
      </c>
    </row>
    <row r="68" spans="1:15" ht="15" thickBot="1" x14ac:dyDescent="0.35">
      <c r="A68" s="15" t="s">
        <v>95</v>
      </c>
      <c r="B68" s="17" t="s">
        <v>17</v>
      </c>
      <c r="C68" s="15" t="s">
        <v>12</v>
      </c>
      <c r="D68" t="s">
        <v>23</v>
      </c>
      <c r="E68" s="15" t="s">
        <v>24</v>
      </c>
      <c r="F68" s="15" t="s">
        <v>20</v>
      </c>
      <c r="G68" s="18">
        <v>44993</v>
      </c>
      <c r="H68" s="24">
        <v>164</v>
      </c>
      <c r="I68" s="23">
        <v>189.56</v>
      </c>
      <c r="J68" s="17">
        <v>69.92</v>
      </c>
      <c r="K68">
        <v>31087.84</v>
      </c>
      <c r="L68" s="22">
        <f>(Table63[[#This Row],[Unit sold Filled]]*Table63[[#This Row],[Unit Price Filled]])-(Table63[[#This Row],[Unit sold Filled]]*Table63[[#This Row],[Unit Cost]])</f>
        <v>19620.96</v>
      </c>
      <c r="M68" s="27">
        <f>IF(Table63[[#This Row],[Total Revenue]]=0,0,Table63[[#This Row],[Profit]]/Table63[[#This Row],[Total Revenue]])</f>
        <v>0.63114581135260606</v>
      </c>
      <c r="N68" s="28" t="str">
        <f>YEAR(Table63[[#This Row],[Order Date]])&amp;"-"&amp;TEXT(Table63[[#This Row],[Order Date]],"mm")</f>
        <v>2023-03</v>
      </c>
      <c r="O68" s="22">
        <f>IF(Table63[[#This Row],[Unit sold Filled]]=0,0,Table63[[#This Row],[Total Revenue]]/Table63[[#This Row],[Unit sold Filled]])</f>
        <v>189.56</v>
      </c>
    </row>
    <row r="69" spans="1:15" ht="15" thickBot="1" x14ac:dyDescent="0.35">
      <c r="A69" s="1" t="s">
        <v>96</v>
      </c>
      <c r="B69" s="3" t="s">
        <v>22</v>
      </c>
      <c r="C69" s="1" t="s">
        <v>18</v>
      </c>
      <c r="D69" t="s">
        <v>42</v>
      </c>
      <c r="E69" s="1" t="s">
        <v>14</v>
      </c>
      <c r="F69" s="1" t="s">
        <v>15</v>
      </c>
      <c r="G69" s="2">
        <v>44994</v>
      </c>
      <c r="H69" s="24">
        <v>431</v>
      </c>
      <c r="I69" s="23">
        <v>258.74</v>
      </c>
      <c r="J69" s="3">
        <v>31.7</v>
      </c>
      <c r="K69">
        <v>111516.94</v>
      </c>
      <c r="L69" s="22">
        <f>(Table63[[#This Row],[Unit sold Filled]]*Table63[[#This Row],[Unit Price Filled]])-(Table63[[#This Row],[Unit sold Filled]]*Table63[[#This Row],[Unit Cost]])</f>
        <v>97854.24</v>
      </c>
      <c r="M69" s="27">
        <f>IF(Table63[[#This Row],[Total Revenue]]=0,0,Table63[[#This Row],[Profit]]/Table63[[#This Row],[Total Revenue]])</f>
        <v>0.87748318775604861</v>
      </c>
      <c r="N69" s="28" t="str">
        <f>YEAR(Table63[[#This Row],[Order Date]])&amp;"-"&amp;TEXT(Table63[[#This Row],[Order Date]],"mm")</f>
        <v>2023-03</v>
      </c>
      <c r="O69" s="22">
        <f>IF(Table63[[#This Row],[Unit sold Filled]]=0,0,Table63[[#This Row],[Total Revenue]]/Table63[[#This Row],[Unit sold Filled]])</f>
        <v>258.74</v>
      </c>
    </row>
    <row r="70" spans="1:15" ht="15" thickBot="1" x14ac:dyDescent="0.35">
      <c r="A70" s="15" t="s">
        <v>97</v>
      </c>
      <c r="B70" s="17" t="s">
        <v>17</v>
      </c>
      <c r="C70" s="15" t="s">
        <v>50</v>
      </c>
      <c r="D70" t="s">
        <v>42</v>
      </c>
      <c r="E70" s="15" t="s">
        <v>14</v>
      </c>
      <c r="F70" s="15" t="s">
        <v>28</v>
      </c>
      <c r="G70" s="18">
        <v>44995</v>
      </c>
      <c r="H70" s="24">
        <v>197</v>
      </c>
      <c r="I70" s="23">
        <v>209.45</v>
      </c>
      <c r="J70" s="17">
        <v>313.51</v>
      </c>
      <c r="K70">
        <v>41261.649999999994</v>
      </c>
      <c r="L70" s="22">
        <f>(Table63[[#This Row],[Unit sold Filled]]*Table63[[#This Row],[Unit Price Filled]])-(Table63[[#This Row],[Unit sold Filled]]*Table63[[#This Row],[Unit Cost]])</f>
        <v>-20499.820000000007</v>
      </c>
      <c r="M70" s="27">
        <f>IF(Table63[[#This Row],[Total Revenue]]=0,0,Table63[[#This Row],[Profit]]/Table63[[#This Row],[Total Revenue]])</f>
        <v>-0.4968250179040346</v>
      </c>
      <c r="N70" s="28" t="str">
        <f>YEAR(Table63[[#This Row],[Order Date]])&amp;"-"&amp;TEXT(Table63[[#This Row],[Order Date]],"mm")</f>
        <v>2023-03</v>
      </c>
      <c r="O70" s="22">
        <f>IF(Table63[[#This Row],[Unit sold Filled]]=0,0,Table63[[#This Row],[Total Revenue]]/Table63[[#This Row],[Unit sold Filled]])</f>
        <v>209.44999999999996</v>
      </c>
    </row>
    <row r="71" spans="1:15" ht="15" thickBot="1" x14ac:dyDescent="0.35">
      <c r="A71" s="1" t="s">
        <v>98</v>
      </c>
      <c r="B71" s="3" t="s">
        <v>48</v>
      </c>
      <c r="C71" s="1" t="s">
        <v>12</v>
      </c>
      <c r="D71" t="s">
        <v>42</v>
      </c>
      <c r="E71" s="1" t="s">
        <v>14</v>
      </c>
      <c r="F71" s="1" t="s">
        <v>28</v>
      </c>
      <c r="G71" s="2">
        <v>44996</v>
      </c>
      <c r="H71" s="24">
        <v>16</v>
      </c>
      <c r="I71" s="23">
        <v>39.22</v>
      </c>
      <c r="J71" s="3">
        <v>107.62</v>
      </c>
      <c r="K71">
        <v>627.52</v>
      </c>
      <c r="L71" s="22">
        <f>(Table63[[#This Row],[Unit sold Filled]]*Table63[[#This Row],[Unit Price Filled]])-(Table63[[#This Row],[Unit sold Filled]]*Table63[[#This Row],[Unit Cost]])</f>
        <v>-1094.4000000000001</v>
      </c>
      <c r="M71" s="27">
        <f>IF(Table63[[#This Row],[Total Revenue]]=0,0,Table63[[#This Row],[Profit]]/Table63[[#This Row],[Total Revenue]])</f>
        <v>-1.744008159102499</v>
      </c>
      <c r="N71" s="28" t="str">
        <f>YEAR(Table63[[#This Row],[Order Date]])&amp;"-"&amp;TEXT(Table63[[#This Row],[Order Date]],"mm")</f>
        <v>2023-03</v>
      </c>
      <c r="O71" s="22">
        <f>IF(Table63[[#This Row],[Unit sold Filled]]=0,0,Table63[[#This Row],[Total Revenue]]/Table63[[#This Row],[Unit sold Filled]])</f>
        <v>39.22</v>
      </c>
    </row>
    <row r="72" spans="1:15" ht="15" thickBot="1" x14ac:dyDescent="0.35">
      <c r="A72" s="15" t="s">
        <v>99</v>
      </c>
      <c r="B72" s="17" t="s">
        <v>48</v>
      </c>
      <c r="C72" s="15" t="s">
        <v>50</v>
      </c>
      <c r="D72" t="s">
        <v>13</v>
      </c>
      <c r="E72" s="15" t="s">
        <v>14</v>
      </c>
      <c r="F72" s="15" t="s">
        <v>15</v>
      </c>
      <c r="G72" s="18">
        <v>44997</v>
      </c>
      <c r="H72" s="24">
        <v>142</v>
      </c>
      <c r="I72" s="23">
        <v>221.4</v>
      </c>
      <c r="J72" s="17">
        <v>72.75</v>
      </c>
      <c r="K72">
        <v>31438.799999999999</v>
      </c>
      <c r="L72" s="22">
        <f>(Table63[[#This Row],[Unit sold Filled]]*Table63[[#This Row],[Unit Price Filled]])-(Table63[[#This Row],[Unit sold Filled]]*Table63[[#This Row],[Unit Cost]])</f>
        <v>21108.3</v>
      </c>
      <c r="M72" s="27">
        <f>IF(Table63[[#This Row],[Total Revenue]]=0,0,Table63[[#This Row],[Profit]]/Table63[[#This Row],[Total Revenue]])</f>
        <v>0.67140921409214094</v>
      </c>
      <c r="N72" s="28" t="str">
        <f>YEAR(Table63[[#This Row],[Order Date]])&amp;"-"&amp;TEXT(Table63[[#This Row],[Order Date]],"mm")</f>
        <v>2023-03</v>
      </c>
      <c r="O72" s="22">
        <f>IF(Table63[[#This Row],[Unit sold Filled]]=0,0,Table63[[#This Row],[Total Revenue]]/Table63[[#This Row],[Unit sold Filled]])</f>
        <v>221.4</v>
      </c>
    </row>
    <row r="73" spans="1:15" ht="15" thickBot="1" x14ac:dyDescent="0.35">
      <c r="A73" s="1" t="s">
        <v>100</v>
      </c>
      <c r="B73" s="3" t="s">
        <v>48</v>
      </c>
      <c r="C73" s="1" t="s">
        <v>31</v>
      </c>
      <c r="D73" t="s">
        <v>19</v>
      </c>
      <c r="E73" s="1" t="s">
        <v>14</v>
      </c>
      <c r="F73" s="1" t="s">
        <v>20</v>
      </c>
      <c r="G73" s="2">
        <v>44998</v>
      </c>
      <c r="H73" s="24">
        <v>244</v>
      </c>
      <c r="I73" s="23">
        <v>53.21</v>
      </c>
      <c r="J73" s="3">
        <v>277.26</v>
      </c>
      <c r="K73">
        <v>12983.24</v>
      </c>
      <c r="L73" s="22">
        <f>(Table63[[#This Row],[Unit sold Filled]]*Table63[[#This Row],[Unit Price Filled]])-(Table63[[#This Row],[Unit sold Filled]]*Table63[[#This Row],[Unit Cost]])</f>
        <v>-54668.200000000004</v>
      </c>
      <c r="M73" s="27">
        <f>IF(Table63[[#This Row],[Total Revenue]]=0,0,Table63[[#This Row],[Profit]]/Table63[[#This Row],[Total Revenue]])</f>
        <v>-4.2106746852095478</v>
      </c>
      <c r="N73" s="28" t="str">
        <f>YEAR(Table63[[#This Row],[Order Date]])&amp;"-"&amp;TEXT(Table63[[#This Row],[Order Date]],"mm")</f>
        <v>2023-03</v>
      </c>
      <c r="O73" s="22">
        <f>IF(Table63[[#This Row],[Unit sold Filled]]=0,0,Table63[[#This Row],[Total Revenue]]/Table63[[#This Row],[Unit sold Filled]])</f>
        <v>53.21</v>
      </c>
    </row>
    <row r="74" spans="1:15" ht="15" thickBot="1" x14ac:dyDescent="0.35">
      <c r="A74" s="15" t="s">
        <v>101</v>
      </c>
      <c r="B74" s="17" t="s">
        <v>22</v>
      </c>
      <c r="C74" s="15" t="s">
        <v>12</v>
      </c>
      <c r="D74" t="s">
        <v>13</v>
      </c>
      <c r="E74" s="15" t="s">
        <v>14</v>
      </c>
      <c r="F74" s="15" t="s">
        <v>15</v>
      </c>
      <c r="G74" s="18">
        <v>44999</v>
      </c>
      <c r="H74" s="24">
        <v>54</v>
      </c>
      <c r="I74" s="23">
        <v>205.49</v>
      </c>
      <c r="J74" s="17">
        <v>247.98</v>
      </c>
      <c r="K74">
        <v>11096.460000000001</v>
      </c>
      <c r="L74" s="22">
        <f>(Table63[[#This Row],[Unit sold Filled]]*Table63[[#This Row],[Unit Price Filled]])-(Table63[[#This Row],[Unit sold Filled]]*Table63[[#This Row],[Unit Cost]])</f>
        <v>-2294.4599999999991</v>
      </c>
      <c r="M74" s="27">
        <f>IF(Table63[[#This Row],[Total Revenue]]=0,0,Table63[[#This Row],[Profit]]/Table63[[#This Row],[Total Revenue]])</f>
        <v>-0.20677405226531695</v>
      </c>
      <c r="N74" s="28" t="str">
        <f>YEAR(Table63[[#This Row],[Order Date]])&amp;"-"&amp;TEXT(Table63[[#This Row],[Order Date]],"mm")</f>
        <v>2023-03</v>
      </c>
      <c r="O74" s="22">
        <f>IF(Table63[[#This Row],[Unit sold Filled]]=0,0,Table63[[#This Row],[Total Revenue]]/Table63[[#This Row],[Unit sold Filled]])</f>
        <v>205.49</v>
      </c>
    </row>
    <row r="75" spans="1:15" ht="15" thickBot="1" x14ac:dyDescent="0.35">
      <c r="A75" s="1" t="s">
        <v>102</v>
      </c>
      <c r="B75" s="3" t="s">
        <v>48</v>
      </c>
      <c r="C75" s="1" t="s">
        <v>31</v>
      </c>
      <c r="D75" t="s">
        <v>19</v>
      </c>
      <c r="E75" s="1" t="s">
        <v>14</v>
      </c>
      <c r="F75" s="1" t="s">
        <v>20</v>
      </c>
      <c r="G75" s="2">
        <v>45000</v>
      </c>
      <c r="H75" s="24">
        <v>323</v>
      </c>
      <c r="I75" s="23">
        <v>298.49</v>
      </c>
      <c r="J75" s="3">
        <v>254.01</v>
      </c>
      <c r="K75">
        <v>96412.27</v>
      </c>
      <c r="L75" s="22">
        <f>(Table63[[#This Row],[Unit sold Filled]]*Table63[[#This Row],[Unit Price Filled]])-(Table63[[#This Row],[Unit sold Filled]]*Table63[[#This Row],[Unit Cost]])</f>
        <v>14367.040000000008</v>
      </c>
      <c r="M75" s="27">
        <f>IF(Table63[[#This Row],[Total Revenue]]=0,0,Table63[[#This Row],[Profit]]/Table63[[#This Row],[Total Revenue]])</f>
        <v>0.14901671747797254</v>
      </c>
      <c r="N75" s="28" t="str">
        <f>YEAR(Table63[[#This Row],[Order Date]])&amp;"-"&amp;TEXT(Table63[[#This Row],[Order Date]],"mm")</f>
        <v>2023-03</v>
      </c>
      <c r="O75" s="22">
        <f>IF(Table63[[#This Row],[Unit sold Filled]]=0,0,Table63[[#This Row],[Total Revenue]]/Table63[[#This Row],[Unit sold Filled]])</f>
        <v>298.49</v>
      </c>
    </row>
    <row r="76" spans="1:15" ht="15" thickBot="1" x14ac:dyDescent="0.35">
      <c r="A76" s="15" t="s">
        <v>103</v>
      </c>
      <c r="B76" s="17" t="s">
        <v>22</v>
      </c>
      <c r="C76" s="15" t="s">
        <v>18</v>
      </c>
      <c r="D76" t="s">
        <v>13</v>
      </c>
      <c r="E76" s="15" t="s">
        <v>24</v>
      </c>
      <c r="F76" s="15" t="s">
        <v>28</v>
      </c>
      <c r="G76" s="18">
        <v>45001</v>
      </c>
      <c r="H76" s="24">
        <v>258</v>
      </c>
      <c r="I76" s="23">
        <v>291.81</v>
      </c>
      <c r="J76" s="17">
        <v>93.1</v>
      </c>
      <c r="K76">
        <v>75286.98</v>
      </c>
      <c r="L76" s="22">
        <f>(Table63[[#This Row],[Unit sold Filled]]*Table63[[#This Row],[Unit Price Filled]])-(Table63[[#This Row],[Unit sold Filled]]*Table63[[#This Row],[Unit Cost]])</f>
        <v>51267.179999999993</v>
      </c>
      <c r="M76" s="27">
        <f>IF(Table63[[#This Row],[Total Revenue]]=0,0,Table63[[#This Row],[Profit]]/Table63[[#This Row],[Total Revenue]])</f>
        <v>0.68095678695041284</v>
      </c>
      <c r="N76" s="28" t="str">
        <f>YEAR(Table63[[#This Row],[Order Date]])&amp;"-"&amp;TEXT(Table63[[#This Row],[Order Date]],"mm")</f>
        <v>2023-03</v>
      </c>
      <c r="O76" s="22">
        <f>IF(Table63[[#This Row],[Unit sold Filled]]=0,0,Table63[[#This Row],[Total Revenue]]/Table63[[#This Row],[Unit sold Filled]])</f>
        <v>291.81</v>
      </c>
    </row>
    <row r="77" spans="1:15" ht="15" thickBot="1" x14ac:dyDescent="0.35">
      <c r="A77" s="1" t="s">
        <v>104</v>
      </c>
      <c r="B77" s="3" t="s">
        <v>48</v>
      </c>
      <c r="C77" s="1" t="s">
        <v>18</v>
      </c>
      <c r="D77" t="s">
        <v>13</v>
      </c>
      <c r="E77" s="1" t="s">
        <v>24</v>
      </c>
      <c r="F77" s="1" t="s">
        <v>20</v>
      </c>
      <c r="G77" s="2">
        <v>45002</v>
      </c>
      <c r="H77" s="24">
        <v>40</v>
      </c>
      <c r="I77" s="23">
        <v>333</v>
      </c>
      <c r="J77" s="3">
        <v>94.59</v>
      </c>
      <c r="K77">
        <v>13320</v>
      </c>
      <c r="L77" s="22">
        <f>(Table63[[#This Row],[Unit sold Filled]]*Table63[[#This Row],[Unit Price Filled]])-(Table63[[#This Row],[Unit sold Filled]]*Table63[[#This Row],[Unit Cost]])</f>
        <v>9536.4</v>
      </c>
      <c r="M77" s="27">
        <f>IF(Table63[[#This Row],[Total Revenue]]=0,0,Table63[[#This Row],[Profit]]/Table63[[#This Row],[Total Revenue]])</f>
        <v>0.71594594594594596</v>
      </c>
      <c r="N77" s="28" t="str">
        <f>YEAR(Table63[[#This Row],[Order Date]])&amp;"-"&amp;TEXT(Table63[[#This Row],[Order Date]],"mm")</f>
        <v>2023-03</v>
      </c>
      <c r="O77" s="22">
        <f>IF(Table63[[#This Row],[Unit sold Filled]]=0,0,Table63[[#This Row],[Total Revenue]]/Table63[[#This Row],[Unit sold Filled]])</f>
        <v>333</v>
      </c>
    </row>
    <row r="78" spans="1:15" ht="15" thickBot="1" x14ac:dyDescent="0.35">
      <c r="A78" s="15" t="s">
        <v>105</v>
      </c>
      <c r="B78" s="17" t="s">
        <v>17</v>
      </c>
      <c r="C78" s="15" t="s">
        <v>12</v>
      </c>
      <c r="D78" t="s">
        <v>23</v>
      </c>
      <c r="E78" s="15" t="s">
        <v>24</v>
      </c>
      <c r="F78" s="15" t="s">
        <v>28</v>
      </c>
      <c r="G78" s="18">
        <v>45003</v>
      </c>
      <c r="H78" s="24">
        <v>32</v>
      </c>
      <c r="I78" s="23">
        <v>52.15</v>
      </c>
      <c r="J78" s="17">
        <v>89.88</v>
      </c>
      <c r="K78">
        <v>1668.8</v>
      </c>
      <c r="L78" s="22">
        <f>(Table63[[#This Row],[Unit sold Filled]]*Table63[[#This Row],[Unit Price Filled]])-(Table63[[#This Row],[Unit sold Filled]]*Table63[[#This Row],[Unit Cost]])</f>
        <v>-1207.3599999999999</v>
      </c>
      <c r="M78" s="27">
        <f>IF(Table63[[#This Row],[Total Revenue]]=0,0,Table63[[#This Row],[Profit]]/Table63[[#This Row],[Total Revenue]])</f>
        <v>-0.72348993288590602</v>
      </c>
      <c r="N78" s="28" t="str">
        <f>YEAR(Table63[[#This Row],[Order Date]])&amp;"-"&amp;TEXT(Table63[[#This Row],[Order Date]],"mm")</f>
        <v>2023-03</v>
      </c>
      <c r="O78" s="22">
        <f>IF(Table63[[#This Row],[Unit sold Filled]]=0,0,Table63[[#This Row],[Total Revenue]]/Table63[[#This Row],[Unit sold Filled]])</f>
        <v>52.15</v>
      </c>
    </row>
    <row r="79" spans="1:15" ht="15" thickBot="1" x14ac:dyDescent="0.35">
      <c r="A79" s="1" t="s">
        <v>106</v>
      </c>
      <c r="B79" s="3" t="s">
        <v>17</v>
      </c>
      <c r="C79" s="1" t="s">
        <v>12</v>
      </c>
      <c r="D79" t="s">
        <v>13</v>
      </c>
      <c r="E79" s="1" t="s">
        <v>24</v>
      </c>
      <c r="F79" s="1" t="s">
        <v>15</v>
      </c>
      <c r="G79" s="2">
        <v>45004</v>
      </c>
      <c r="H79" s="24">
        <v>435</v>
      </c>
      <c r="I79" s="23">
        <v>327.8</v>
      </c>
      <c r="J79" s="3">
        <v>71.150000000000006</v>
      </c>
      <c r="K79">
        <v>142593</v>
      </c>
      <c r="L79" s="22">
        <f>(Table63[[#This Row],[Unit sold Filled]]*Table63[[#This Row],[Unit Price Filled]])-(Table63[[#This Row],[Unit sold Filled]]*Table63[[#This Row],[Unit Cost]])</f>
        <v>111642.75</v>
      </c>
      <c r="M79" s="27">
        <f>IF(Table63[[#This Row],[Total Revenue]]=0,0,Table63[[#This Row],[Profit]]/Table63[[#This Row],[Total Revenue]])</f>
        <v>0.78294691885295908</v>
      </c>
      <c r="N79" s="28" t="str">
        <f>YEAR(Table63[[#This Row],[Order Date]])&amp;"-"&amp;TEXT(Table63[[#This Row],[Order Date]],"mm")</f>
        <v>2023-03</v>
      </c>
      <c r="O79" s="22">
        <f>IF(Table63[[#This Row],[Unit sold Filled]]=0,0,Table63[[#This Row],[Total Revenue]]/Table63[[#This Row],[Unit sold Filled]])</f>
        <v>327.8</v>
      </c>
    </row>
    <row r="80" spans="1:15" ht="15" thickBot="1" x14ac:dyDescent="0.35">
      <c r="A80" s="15" t="s">
        <v>107</v>
      </c>
      <c r="B80" s="17" t="s">
        <v>11</v>
      </c>
      <c r="C80" s="15" t="s">
        <v>50</v>
      </c>
      <c r="D80" t="s">
        <v>27</v>
      </c>
      <c r="E80" s="15" t="s">
        <v>24</v>
      </c>
      <c r="F80" s="15" t="s">
        <v>15</v>
      </c>
      <c r="G80" s="18">
        <v>45005</v>
      </c>
      <c r="H80" s="24">
        <v>403</v>
      </c>
      <c r="I80" s="23">
        <v>159.51</v>
      </c>
      <c r="J80" s="17">
        <v>262.98</v>
      </c>
      <c r="K80">
        <v>64282.53</v>
      </c>
      <c r="L80" s="22">
        <f>(Table63[[#This Row],[Unit sold Filled]]*Table63[[#This Row],[Unit Price Filled]])-(Table63[[#This Row],[Unit sold Filled]]*Table63[[#This Row],[Unit Cost]])</f>
        <v>-41698.410000000003</v>
      </c>
      <c r="M80" s="27">
        <f>IF(Table63[[#This Row],[Total Revenue]]=0,0,Table63[[#This Row],[Profit]]/Table63[[#This Row],[Total Revenue]])</f>
        <v>-0.64867406432198615</v>
      </c>
      <c r="N80" s="28" t="str">
        <f>YEAR(Table63[[#This Row],[Order Date]])&amp;"-"&amp;TEXT(Table63[[#This Row],[Order Date]],"mm")</f>
        <v>2023-03</v>
      </c>
      <c r="O80" s="22">
        <f>IF(Table63[[#This Row],[Unit sold Filled]]=0,0,Table63[[#This Row],[Total Revenue]]/Table63[[#This Row],[Unit sold Filled]])</f>
        <v>159.51</v>
      </c>
    </row>
    <row r="81" spans="1:15" ht="15" thickBot="1" x14ac:dyDescent="0.35">
      <c r="A81" s="1" t="s">
        <v>108</v>
      </c>
      <c r="B81" s="3" t="s">
        <v>17</v>
      </c>
      <c r="C81" s="1" t="s">
        <v>50</v>
      </c>
      <c r="D81" t="s">
        <v>23</v>
      </c>
      <c r="E81" s="1" t="s">
        <v>14</v>
      </c>
      <c r="F81" s="1" t="s">
        <v>15</v>
      </c>
      <c r="G81" s="2">
        <v>45006</v>
      </c>
      <c r="H81" s="24">
        <v>169</v>
      </c>
      <c r="I81" s="23">
        <v>249.64520588235297</v>
      </c>
      <c r="J81" s="3">
        <v>339.51</v>
      </c>
      <c r="K81">
        <v>42190.039794117649</v>
      </c>
      <c r="L81" s="22">
        <f>(Table63[[#This Row],[Unit sold Filled]]*Table63[[#This Row],[Unit Price Filled]])-(Table63[[#This Row],[Unit sold Filled]]*Table63[[#This Row],[Unit Cost]])</f>
        <v>-15187.150205882346</v>
      </c>
      <c r="M81" s="27">
        <f>IF(Table63[[#This Row],[Total Revenue]]=0,0,Table63[[#This Row],[Profit]]/Table63[[#This Row],[Total Revenue]])</f>
        <v>-0.35997003747789347</v>
      </c>
      <c r="N81" s="28" t="str">
        <f>YEAR(Table63[[#This Row],[Order Date]])&amp;"-"&amp;TEXT(Table63[[#This Row],[Order Date]],"mm")</f>
        <v>2023-03</v>
      </c>
      <c r="O81" s="22">
        <f>IF(Table63[[#This Row],[Unit sold Filled]]=0,0,Table63[[#This Row],[Total Revenue]]/Table63[[#This Row],[Unit sold Filled]])</f>
        <v>249.64520588235294</v>
      </c>
    </row>
    <row r="82" spans="1:15" ht="15" thickBot="1" x14ac:dyDescent="0.35">
      <c r="A82" s="15" t="s">
        <v>109</v>
      </c>
      <c r="B82" s="17" t="s">
        <v>11</v>
      </c>
      <c r="C82" s="15" t="s">
        <v>31</v>
      </c>
      <c r="D82" t="s">
        <v>13</v>
      </c>
      <c r="E82" s="15" t="s">
        <v>14</v>
      </c>
      <c r="F82" s="15" t="s">
        <v>20</v>
      </c>
      <c r="G82" s="18">
        <v>45007</v>
      </c>
      <c r="H82" s="24">
        <v>372</v>
      </c>
      <c r="I82" s="23">
        <v>429.7</v>
      </c>
      <c r="J82" s="17">
        <v>290.27999999999997</v>
      </c>
      <c r="K82">
        <v>159848.4</v>
      </c>
      <c r="L82" s="22">
        <f>(Table63[[#This Row],[Unit sold Filled]]*Table63[[#This Row],[Unit Price Filled]])-(Table63[[#This Row],[Unit sold Filled]]*Table63[[#This Row],[Unit Cost]])</f>
        <v>51864.240000000005</v>
      </c>
      <c r="M82" s="27">
        <f>IF(Table63[[#This Row],[Total Revenue]]=0,0,Table63[[#This Row],[Profit]]/Table63[[#This Row],[Total Revenue]])</f>
        <v>0.3244589248312777</v>
      </c>
      <c r="N82" s="28" t="str">
        <f>YEAR(Table63[[#This Row],[Order Date]])&amp;"-"&amp;TEXT(Table63[[#This Row],[Order Date]],"mm")</f>
        <v>2023-03</v>
      </c>
      <c r="O82" s="22">
        <f>IF(Table63[[#This Row],[Unit sold Filled]]=0,0,Table63[[#This Row],[Total Revenue]]/Table63[[#This Row],[Unit sold Filled]])</f>
        <v>429.7</v>
      </c>
    </row>
    <row r="83" spans="1:15" ht="15" thickBot="1" x14ac:dyDescent="0.35">
      <c r="A83" s="1" t="s">
        <v>110</v>
      </c>
      <c r="B83" s="3" t="s">
        <v>17</v>
      </c>
      <c r="C83" s="1" t="s">
        <v>12</v>
      </c>
      <c r="D83" t="s">
        <v>42</v>
      </c>
      <c r="E83" s="1" t="s">
        <v>24</v>
      </c>
      <c r="F83" s="1" t="s">
        <v>28</v>
      </c>
      <c r="G83" s="2">
        <v>45008</v>
      </c>
      <c r="H83" s="24">
        <v>446</v>
      </c>
      <c r="I83" s="23">
        <v>9.4700000000000006</v>
      </c>
      <c r="J83" s="3">
        <v>317.25</v>
      </c>
      <c r="K83">
        <v>4223.62</v>
      </c>
      <c r="L83" s="22">
        <f>(Table63[[#This Row],[Unit sold Filled]]*Table63[[#This Row],[Unit Price Filled]])-(Table63[[#This Row],[Unit sold Filled]]*Table63[[#This Row],[Unit Cost]])</f>
        <v>-137269.88</v>
      </c>
      <c r="M83" s="27">
        <f>IF(Table63[[#This Row],[Total Revenue]]=0,0,Table63[[#This Row],[Profit]]/Table63[[#This Row],[Total Revenue]])</f>
        <v>-32.50052798310454</v>
      </c>
      <c r="N83" s="28" t="str">
        <f>YEAR(Table63[[#This Row],[Order Date]])&amp;"-"&amp;TEXT(Table63[[#This Row],[Order Date]],"mm")</f>
        <v>2023-03</v>
      </c>
      <c r="O83" s="22">
        <f>IF(Table63[[#This Row],[Unit sold Filled]]=0,0,Table63[[#This Row],[Total Revenue]]/Table63[[#This Row],[Unit sold Filled]])</f>
        <v>9.4700000000000006</v>
      </c>
    </row>
    <row r="84" spans="1:15" ht="15" thickBot="1" x14ac:dyDescent="0.35">
      <c r="A84" s="15" t="s">
        <v>111</v>
      </c>
      <c r="B84" s="17" t="s">
        <v>22</v>
      </c>
      <c r="C84" s="15" t="s">
        <v>18</v>
      </c>
      <c r="D84" t="s">
        <v>27</v>
      </c>
      <c r="E84" s="15" t="s">
        <v>14</v>
      </c>
      <c r="F84" s="15" t="s">
        <v>15</v>
      </c>
      <c r="G84" s="18">
        <v>45009</v>
      </c>
      <c r="H84" s="24">
        <v>167</v>
      </c>
      <c r="I84" s="23">
        <v>296.26</v>
      </c>
      <c r="J84" s="17">
        <v>163.11000000000001</v>
      </c>
      <c r="K84">
        <v>49475.42</v>
      </c>
      <c r="L84" s="22">
        <f>(Table63[[#This Row],[Unit sold Filled]]*Table63[[#This Row],[Unit Price Filled]])-(Table63[[#This Row],[Unit sold Filled]]*Table63[[#This Row],[Unit Cost]])</f>
        <v>22236.049999999996</v>
      </c>
      <c r="M84" s="27">
        <f>IF(Table63[[#This Row],[Total Revenue]]=0,0,Table63[[#This Row],[Profit]]/Table63[[#This Row],[Total Revenue]])</f>
        <v>0.44943630594747852</v>
      </c>
      <c r="N84" s="28" t="str">
        <f>YEAR(Table63[[#This Row],[Order Date]])&amp;"-"&amp;TEXT(Table63[[#This Row],[Order Date]],"mm")</f>
        <v>2023-03</v>
      </c>
      <c r="O84" s="22">
        <f>IF(Table63[[#This Row],[Unit sold Filled]]=0,0,Table63[[#This Row],[Total Revenue]]/Table63[[#This Row],[Unit sold Filled]])</f>
        <v>296.26</v>
      </c>
    </row>
    <row r="85" spans="1:15" ht="15" thickBot="1" x14ac:dyDescent="0.35">
      <c r="A85" s="1" t="s">
        <v>112</v>
      </c>
      <c r="B85" s="3" t="s">
        <v>17</v>
      </c>
      <c r="C85" s="1" t="s">
        <v>50</v>
      </c>
      <c r="D85" t="s">
        <v>27</v>
      </c>
      <c r="E85" s="1" t="s">
        <v>24</v>
      </c>
      <c r="F85" s="1" t="s">
        <v>15</v>
      </c>
      <c r="G85" s="2">
        <v>45010</v>
      </c>
      <c r="H85" s="24">
        <v>48</v>
      </c>
      <c r="I85" s="23">
        <v>301.36</v>
      </c>
      <c r="J85" s="3">
        <v>262.32</v>
      </c>
      <c r="K85">
        <v>14465.28</v>
      </c>
      <c r="L85" s="22">
        <f>(Table63[[#This Row],[Unit sold Filled]]*Table63[[#This Row],[Unit Price Filled]])-(Table63[[#This Row],[Unit sold Filled]]*Table63[[#This Row],[Unit Cost]])</f>
        <v>1873.92</v>
      </c>
      <c r="M85" s="27">
        <f>IF(Table63[[#This Row],[Total Revenue]]=0,0,Table63[[#This Row],[Profit]]/Table63[[#This Row],[Total Revenue]])</f>
        <v>0.12954605787098486</v>
      </c>
      <c r="N85" s="28" t="str">
        <f>YEAR(Table63[[#This Row],[Order Date]])&amp;"-"&amp;TEXT(Table63[[#This Row],[Order Date]],"mm")</f>
        <v>2023-03</v>
      </c>
      <c r="O85" s="22">
        <f>IF(Table63[[#This Row],[Unit sold Filled]]=0,0,Table63[[#This Row],[Total Revenue]]/Table63[[#This Row],[Unit sold Filled]])</f>
        <v>301.36</v>
      </c>
    </row>
    <row r="86" spans="1:15" ht="15" thickBot="1" x14ac:dyDescent="0.35">
      <c r="A86" s="15" t="s">
        <v>113</v>
      </c>
      <c r="B86" s="17" t="s">
        <v>11</v>
      </c>
      <c r="C86" s="15" t="s">
        <v>50</v>
      </c>
      <c r="D86" t="s">
        <v>27</v>
      </c>
      <c r="E86" s="15" t="s">
        <v>24</v>
      </c>
      <c r="F86" s="15" t="s">
        <v>28</v>
      </c>
      <c r="G86" s="18">
        <v>45011</v>
      </c>
      <c r="H86" s="24">
        <v>424</v>
      </c>
      <c r="I86" s="23">
        <v>201.35</v>
      </c>
      <c r="J86" s="17">
        <v>142.99</v>
      </c>
      <c r="K86">
        <v>85372.4</v>
      </c>
      <c r="L86" s="22">
        <f>(Table63[[#This Row],[Unit sold Filled]]*Table63[[#This Row],[Unit Price Filled]])-(Table63[[#This Row],[Unit sold Filled]]*Table63[[#This Row],[Unit Cost]])</f>
        <v>24744.639999999992</v>
      </c>
      <c r="M86" s="27">
        <f>IF(Table63[[#This Row],[Total Revenue]]=0,0,Table63[[#This Row],[Profit]]/Table63[[#This Row],[Total Revenue]])</f>
        <v>0.28984355599702005</v>
      </c>
      <c r="N86" s="28" t="str">
        <f>YEAR(Table63[[#This Row],[Order Date]])&amp;"-"&amp;TEXT(Table63[[#This Row],[Order Date]],"mm")</f>
        <v>2023-03</v>
      </c>
      <c r="O86" s="22">
        <f>IF(Table63[[#This Row],[Unit sold Filled]]=0,0,Table63[[#This Row],[Total Revenue]]/Table63[[#This Row],[Unit sold Filled]])</f>
        <v>201.35</v>
      </c>
    </row>
    <row r="87" spans="1:15" ht="15" thickBot="1" x14ac:dyDescent="0.35">
      <c r="A87" s="1" t="s">
        <v>114</v>
      </c>
      <c r="B87" s="3" t="s">
        <v>11</v>
      </c>
      <c r="C87" s="1" t="s">
        <v>18</v>
      </c>
      <c r="D87" t="s">
        <v>23</v>
      </c>
      <c r="E87" s="1" t="s">
        <v>14</v>
      </c>
      <c r="F87" s="1" t="s">
        <v>15</v>
      </c>
      <c r="G87" s="2">
        <v>45012</v>
      </c>
      <c r="H87" s="24">
        <v>91</v>
      </c>
      <c r="I87" s="23">
        <v>122.33</v>
      </c>
      <c r="J87" s="3">
        <v>211.15</v>
      </c>
      <c r="K87">
        <v>11132.03</v>
      </c>
      <c r="L87" s="22">
        <f>(Table63[[#This Row],[Unit sold Filled]]*Table63[[#This Row],[Unit Price Filled]])-(Table63[[#This Row],[Unit sold Filled]]*Table63[[#This Row],[Unit Cost]])</f>
        <v>-8082.6200000000008</v>
      </c>
      <c r="M87" s="27">
        <f>IF(Table63[[#This Row],[Total Revenue]]=0,0,Table63[[#This Row],[Profit]]/Table63[[#This Row],[Total Revenue]])</f>
        <v>-0.72606883021335733</v>
      </c>
      <c r="N87" s="28" t="str">
        <f>YEAR(Table63[[#This Row],[Order Date]])&amp;"-"&amp;TEXT(Table63[[#This Row],[Order Date]],"mm")</f>
        <v>2023-03</v>
      </c>
      <c r="O87" s="22">
        <f>IF(Table63[[#This Row],[Unit sold Filled]]=0,0,Table63[[#This Row],[Total Revenue]]/Table63[[#This Row],[Unit sold Filled]])</f>
        <v>122.33000000000001</v>
      </c>
    </row>
    <row r="88" spans="1:15" ht="15" thickBot="1" x14ac:dyDescent="0.35">
      <c r="A88" s="15" t="s">
        <v>115</v>
      </c>
      <c r="B88" s="17" t="s">
        <v>48</v>
      </c>
      <c r="C88" s="15" t="s">
        <v>50</v>
      </c>
      <c r="D88" t="s">
        <v>13</v>
      </c>
      <c r="E88" s="15" t="s">
        <v>14</v>
      </c>
      <c r="F88" s="15" t="s">
        <v>28</v>
      </c>
      <c r="G88" s="18">
        <v>45013</v>
      </c>
      <c r="H88" s="24">
        <v>365</v>
      </c>
      <c r="I88" s="23">
        <v>121.16</v>
      </c>
      <c r="J88" s="17">
        <v>193.69</v>
      </c>
      <c r="K88">
        <v>44223.4</v>
      </c>
      <c r="L88" s="22">
        <f>(Table63[[#This Row],[Unit sold Filled]]*Table63[[#This Row],[Unit Price Filled]])-(Table63[[#This Row],[Unit sold Filled]]*Table63[[#This Row],[Unit Cost]])</f>
        <v>-26473.450000000004</v>
      </c>
      <c r="M88" s="27">
        <f>IF(Table63[[#This Row],[Total Revenue]]=0,0,Table63[[#This Row],[Profit]]/Table63[[#This Row],[Total Revenue]])</f>
        <v>-0.59862991086167061</v>
      </c>
      <c r="N88" s="28" t="str">
        <f>YEAR(Table63[[#This Row],[Order Date]])&amp;"-"&amp;TEXT(Table63[[#This Row],[Order Date]],"mm")</f>
        <v>2023-03</v>
      </c>
      <c r="O88" s="22">
        <f>IF(Table63[[#This Row],[Unit sold Filled]]=0,0,Table63[[#This Row],[Total Revenue]]/Table63[[#This Row],[Unit sold Filled]])</f>
        <v>121.16000000000001</v>
      </c>
    </row>
    <row r="89" spans="1:15" ht="15" thickBot="1" x14ac:dyDescent="0.35">
      <c r="A89" s="1" t="s">
        <v>116</v>
      </c>
      <c r="B89" s="3" t="s">
        <v>22</v>
      </c>
      <c r="C89" s="1" t="s">
        <v>31</v>
      </c>
      <c r="D89" t="s">
        <v>13</v>
      </c>
      <c r="E89" s="1" t="s">
        <v>14</v>
      </c>
      <c r="F89" s="1" t="s">
        <v>28</v>
      </c>
      <c r="G89" s="2">
        <v>45014</v>
      </c>
      <c r="H89" s="24">
        <v>267</v>
      </c>
      <c r="I89" s="23">
        <v>442.44</v>
      </c>
      <c r="J89" s="3">
        <v>72.400000000000006</v>
      </c>
      <c r="K89">
        <v>118131.48</v>
      </c>
      <c r="L89" s="22">
        <f>(Table63[[#This Row],[Unit sold Filled]]*Table63[[#This Row],[Unit Price Filled]])-(Table63[[#This Row],[Unit sold Filled]]*Table63[[#This Row],[Unit Cost]])</f>
        <v>98800.68</v>
      </c>
      <c r="M89" s="27">
        <f>IF(Table63[[#This Row],[Total Revenue]]=0,0,Table63[[#This Row],[Profit]]/Table63[[#This Row],[Total Revenue]])</f>
        <v>0.83636199258656541</v>
      </c>
      <c r="N89" s="28" t="str">
        <f>YEAR(Table63[[#This Row],[Order Date]])&amp;"-"&amp;TEXT(Table63[[#This Row],[Order Date]],"mm")</f>
        <v>2023-03</v>
      </c>
      <c r="O89" s="22">
        <f>IF(Table63[[#This Row],[Unit sold Filled]]=0,0,Table63[[#This Row],[Total Revenue]]/Table63[[#This Row],[Unit sold Filled]])</f>
        <v>442.44</v>
      </c>
    </row>
    <row r="90" spans="1:15" ht="15" thickBot="1" x14ac:dyDescent="0.35">
      <c r="A90" s="15" t="s">
        <v>117</v>
      </c>
      <c r="B90" s="17" t="s">
        <v>17</v>
      </c>
      <c r="C90" s="15" t="s">
        <v>12</v>
      </c>
      <c r="D90" t="s">
        <v>42</v>
      </c>
      <c r="E90" s="15" t="s">
        <v>24</v>
      </c>
      <c r="F90" s="15" t="s">
        <v>28</v>
      </c>
      <c r="G90" s="18">
        <v>45015</v>
      </c>
      <c r="H90" s="24">
        <v>215</v>
      </c>
      <c r="I90" s="23">
        <v>223.8</v>
      </c>
      <c r="J90" s="17">
        <v>156.06</v>
      </c>
      <c r="K90">
        <v>48117</v>
      </c>
      <c r="L90" s="22">
        <f>(Table63[[#This Row],[Unit sold Filled]]*Table63[[#This Row],[Unit Price Filled]])-(Table63[[#This Row],[Unit sold Filled]]*Table63[[#This Row],[Unit Cost]])</f>
        <v>14564.099999999999</v>
      </c>
      <c r="M90" s="27">
        <f>IF(Table63[[#This Row],[Total Revenue]]=0,0,Table63[[#This Row],[Profit]]/Table63[[#This Row],[Total Revenue]])</f>
        <v>0.30268096514745307</v>
      </c>
      <c r="N90" s="28" t="str">
        <f>YEAR(Table63[[#This Row],[Order Date]])&amp;"-"&amp;TEXT(Table63[[#This Row],[Order Date]],"mm")</f>
        <v>2023-03</v>
      </c>
      <c r="O90" s="22">
        <f>IF(Table63[[#This Row],[Unit sold Filled]]=0,0,Table63[[#This Row],[Total Revenue]]/Table63[[#This Row],[Unit sold Filled]])</f>
        <v>223.8</v>
      </c>
    </row>
    <row r="91" spans="1:15" ht="15" thickBot="1" x14ac:dyDescent="0.35">
      <c r="A91" s="1" t="s">
        <v>118</v>
      </c>
      <c r="B91" s="3" t="s">
        <v>48</v>
      </c>
      <c r="C91" s="1" t="s">
        <v>18</v>
      </c>
      <c r="D91" t="s">
        <v>42</v>
      </c>
      <c r="E91" s="1" t="s">
        <v>14</v>
      </c>
      <c r="F91" s="1" t="s">
        <v>28</v>
      </c>
      <c r="G91" s="2">
        <v>45016</v>
      </c>
      <c r="H91" s="24">
        <v>86</v>
      </c>
      <c r="I91" s="23">
        <v>168.79</v>
      </c>
      <c r="J91" s="3">
        <v>385.6</v>
      </c>
      <c r="K91">
        <v>14515.939999999999</v>
      </c>
      <c r="L91" s="22">
        <f>(Table63[[#This Row],[Unit sold Filled]]*Table63[[#This Row],[Unit Price Filled]])-(Table63[[#This Row],[Unit sold Filled]]*Table63[[#This Row],[Unit Cost]])</f>
        <v>-18645.66</v>
      </c>
      <c r="M91" s="27">
        <f>IF(Table63[[#This Row],[Total Revenue]]=0,0,Table63[[#This Row],[Profit]]/Table63[[#This Row],[Total Revenue]])</f>
        <v>-1.284495526986196</v>
      </c>
      <c r="N91" s="28" t="str">
        <f>YEAR(Table63[[#This Row],[Order Date]])&amp;"-"&amp;TEXT(Table63[[#This Row],[Order Date]],"mm")</f>
        <v>2023-03</v>
      </c>
      <c r="O91" s="22">
        <f>IF(Table63[[#This Row],[Unit sold Filled]]=0,0,Table63[[#This Row],[Total Revenue]]/Table63[[#This Row],[Unit sold Filled]])</f>
        <v>168.79</v>
      </c>
    </row>
    <row r="92" spans="1:15" ht="15" thickBot="1" x14ac:dyDescent="0.35">
      <c r="A92" s="15" t="s">
        <v>119</v>
      </c>
      <c r="B92" s="17" t="s">
        <v>17</v>
      </c>
      <c r="C92" s="15" t="s">
        <v>12</v>
      </c>
      <c r="D92" t="s">
        <v>27</v>
      </c>
      <c r="E92" s="15" t="s">
        <v>24</v>
      </c>
      <c r="F92" s="15" t="s">
        <v>28</v>
      </c>
      <c r="G92" s="18">
        <v>45017</v>
      </c>
      <c r="H92" s="24">
        <v>486</v>
      </c>
      <c r="I92" s="23">
        <v>227.14</v>
      </c>
      <c r="J92" s="17">
        <v>100.93</v>
      </c>
      <c r="K92">
        <v>110390.04</v>
      </c>
      <c r="L92" s="22">
        <f>(Table63[[#This Row],[Unit sold Filled]]*Table63[[#This Row],[Unit Price Filled]])-(Table63[[#This Row],[Unit sold Filled]]*Table63[[#This Row],[Unit Cost]])</f>
        <v>61338.05999999999</v>
      </c>
      <c r="M92" s="27">
        <f>IF(Table63[[#This Row],[Total Revenue]]=0,0,Table63[[#This Row],[Profit]]/Table63[[#This Row],[Total Revenue]])</f>
        <v>0.55564849872325428</v>
      </c>
      <c r="N92" s="28" t="str">
        <f>YEAR(Table63[[#This Row],[Order Date]])&amp;"-"&amp;TEXT(Table63[[#This Row],[Order Date]],"mm")</f>
        <v>2023-04</v>
      </c>
      <c r="O92" s="22">
        <f>IF(Table63[[#This Row],[Unit sold Filled]]=0,0,Table63[[#This Row],[Total Revenue]]/Table63[[#This Row],[Unit sold Filled]])</f>
        <v>227.14</v>
      </c>
    </row>
    <row r="93" spans="1:15" ht="15" thickBot="1" x14ac:dyDescent="0.35">
      <c r="A93" s="1" t="s">
        <v>120</v>
      </c>
      <c r="B93" s="3" t="s">
        <v>17</v>
      </c>
      <c r="C93" s="1" t="s">
        <v>50</v>
      </c>
      <c r="D93" t="s">
        <v>42</v>
      </c>
      <c r="E93" s="1" t="s">
        <v>24</v>
      </c>
      <c r="F93" s="1" t="s">
        <v>20</v>
      </c>
      <c r="G93" s="2">
        <v>45018</v>
      </c>
      <c r="H93" s="24">
        <v>21</v>
      </c>
      <c r="I93" s="23">
        <v>249.64520588235297</v>
      </c>
      <c r="J93" s="3">
        <v>55.25</v>
      </c>
      <c r="K93">
        <v>5242.5493235294125</v>
      </c>
      <c r="L93" s="22">
        <f>(Table63[[#This Row],[Unit sold Filled]]*Table63[[#This Row],[Unit Price Filled]])-(Table63[[#This Row],[Unit sold Filled]]*Table63[[#This Row],[Unit Cost]])</f>
        <v>4082.2993235294125</v>
      </c>
      <c r="M93" s="27">
        <f>IF(Table63[[#This Row],[Total Revenue]]=0,0,Table63[[#This Row],[Profit]]/Table63[[#This Row],[Total Revenue]])</f>
        <v>0.77868591625974604</v>
      </c>
      <c r="N93" s="28" t="str">
        <f>YEAR(Table63[[#This Row],[Order Date]])&amp;"-"&amp;TEXT(Table63[[#This Row],[Order Date]],"mm")</f>
        <v>2023-04</v>
      </c>
      <c r="O93" s="22">
        <f>IF(Table63[[#This Row],[Unit sold Filled]]=0,0,Table63[[#This Row],[Total Revenue]]/Table63[[#This Row],[Unit sold Filled]])</f>
        <v>249.64520588235297</v>
      </c>
    </row>
    <row r="94" spans="1:15" ht="15" thickBot="1" x14ac:dyDescent="0.35">
      <c r="A94" s="15" t="s">
        <v>121</v>
      </c>
      <c r="B94" s="17" t="s">
        <v>48</v>
      </c>
      <c r="C94" s="15" t="s">
        <v>50</v>
      </c>
      <c r="D94" t="s">
        <v>23</v>
      </c>
      <c r="E94" s="15" t="s">
        <v>24</v>
      </c>
      <c r="F94" s="15" t="s">
        <v>15</v>
      </c>
      <c r="G94" s="18">
        <v>45019</v>
      </c>
      <c r="H94" s="24">
        <v>304</v>
      </c>
      <c r="I94" s="23">
        <v>77.150000000000006</v>
      </c>
      <c r="J94" s="17">
        <v>168.6</v>
      </c>
      <c r="K94">
        <v>23453.600000000002</v>
      </c>
      <c r="L94" s="22">
        <f>(Table63[[#This Row],[Unit sold Filled]]*Table63[[#This Row],[Unit Price Filled]])-(Table63[[#This Row],[Unit sold Filled]]*Table63[[#This Row],[Unit Cost]])</f>
        <v>-27800.799999999999</v>
      </c>
      <c r="M94" s="27">
        <f>IF(Table63[[#This Row],[Total Revenue]]=0,0,Table63[[#This Row],[Profit]]/Table63[[#This Row],[Total Revenue]])</f>
        <v>-1.1853532080362927</v>
      </c>
      <c r="N94" s="28" t="str">
        <f>YEAR(Table63[[#This Row],[Order Date]])&amp;"-"&amp;TEXT(Table63[[#This Row],[Order Date]],"mm")</f>
        <v>2023-04</v>
      </c>
      <c r="O94" s="22">
        <f>IF(Table63[[#This Row],[Unit sold Filled]]=0,0,Table63[[#This Row],[Total Revenue]]/Table63[[#This Row],[Unit sold Filled]])</f>
        <v>77.150000000000006</v>
      </c>
    </row>
    <row r="95" spans="1:15" ht="15" thickBot="1" x14ac:dyDescent="0.35">
      <c r="A95" s="1" t="s">
        <v>122</v>
      </c>
      <c r="B95" s="3" t="s">
        <v>48</v>
      </c>
      <c r="C95" s="1" t="s">
        <v>18</v>
      </c>
      <c r="D95" t="s">
        <v>13</v>
      </c>
      <c r="E95" s="1" t="s">
        <v>14</v>
      </c>
      <c r="F95" s="1" t="s">
        <v>20</v>
      </c>
      <c r="G95" s="2">
        <v>45020</v>
      </c>
      <c r="H95" s="24">
        <v>459</v>
      </c>
      <c r="I95" s="23">
        <v>227.47</v>
      </c>
      <c r="J95" s="3">
        <v>316.55</v>
      </c>
      <c r="K95">
        <v>104408.73</v>
      </c>
      <c r="L95" s="22">
        <f>(Table63[[#This Row],[Unit sold Filled]]*Table63[[#This Row],[Unit Price Filled]])-(Table63[[#This Row],[Unit sold Filled]]*Table63[[#This Row],[Unit Cost]])</f>
        <v>-40887.720000000016</v>
      </c>
      <c r="M95" s="27">
        <f>IF(Table63[[#This Row],[Total Revenue]]=0,0,Table63[[#This Row],[Profit]]/Table63[[#This Row],[Total Revenue]])</f>
        <v>-0.39161208071394049</v>
      </c>
      <c r="N95" s="28" t="str">
        <f>YEAR(Table63[[#This Row],[Order Date]])&amp;"-"&amp;TEXT(Table63[[#This Row],[Order Date]],"mm")</f>
        <v>2023-04</v>
      </c>
      <c r="O95" s="22">
        <f>IF(Table63[[#This Row],[Unit sold Filled]]=0,0,Table63[[#This Row],[Total Revenue]]/Table63[[#This Row],[Unit sold Filled]])</f>
        <v>227.47</v>
      </c>
    </row>
    <row r="96" spans="1:15" ht="15" thickBot="1" x14ac:dyDescent="0.35">
      <c r="A96" s="15" t="s">
        <v>123</v>
      </c>
      <c r="B96" s="17" t="s">
        <v>48</v>
      </c>
      <c r="C96" s="15" t="s">
        <v>31</v>
      </c>
      <c r="D96" t="s">
        <v>27</v>
      </c>
      <c r="E96" s="15" t="s">
        <v>14</v>
      </c>
      <c r="F96" s="15" t="s">
        <v>15</v>
      </c>
      <c r="G96" s="18">
        <v>45021</v>
      </c>
      <c r="H96" s="24">
        <v>233</v>
      </c>
      <c r="I96" s="23">
        <v>296</v>
      </c>
      <c r="J96" s="17">
        <v>233.69</v>
      </c>
      <c r="K96">
        <v>68968</v>
      </c>
      <c r="L96" s="22">
        <f>(Table63[[#This Row],[Unit sold Filled]]*Table63[[#This Row],[Unit Price Filled]])-(Table63[[#This Row],[Unit sold Filled]]*Table63[[#This Row],[Unit Cost]])</f>
        <v>14518.230000000003</v>
      </c>
      <c r="M96" s="27">
        <f>IF(Table63[[#This Row],[Total Revenue]]=0,0,Table63[[#This Row],[Profit]]/Table63[[#This Row],[Total Revenue]])</f>
        <v>0.21050675675675681</v>
      </c>
      <c r="N96" s="28" t="str">
        <f>YEAR(Table63[[#This Row],[Order Date]])&amp;"-"&amp;TEXT(Table63[[#This Row],[Order Date]],"mm")</f>
        <v>2023-04</v>
      </c>
      <c r="O96" s="22">
        <f>IF(Table63[[#This Row],[Unit sold Filled]]=0,0,Table63[[#This Row],[Total Revenue]]/Table63[[#This Row],[Unit sold Filled]])</f>
        <v>296</v>
      </c>
    </row>
    <row r="97" spans="1:15" ht="15" thickBot="1" x14ac:dyDescent="0.35">
      <c r="A97" s="1" t="s">
        <v>124</v>
      </c>
      <c r="B97" s="3" t="s">
        <v>48</v>
      </c>
      <c r="C97" s="1" t="s">
        <v>26</v>
      </c>
      <c r="D97" t="s">
        <v>42</v>
      </c>
      <c r="E97" s="1" t="s">
        <v>24</v>
      </c>
      <c r="F97" s="1" t="s">
        <v>20</v>
      </c>
      <c r="G97" s="2">
        <v>45022</v>
      </c>
      <c r="H97" s="24">
        <v>22</v>
      </c>
      <c r="I97" s="23">
        <v>474.55</v>
      </c>
      <c r="J97" s="3">
        <v>273.02999999999997</v>
      </c>
      <c r="K97">
        <v>10440.1</v>
      </c>
      <c r="L97" s="22">
        <f>(Table63[[#This Row],[Unit sold Filled]]*Table63[[#This Row],[Unit Price Filled]])-(Table63[[#This Row],[Unit sold Filled]]*Table63[[#This Row],[Unit Cost]])</f>
        <v>4433.4400000000005</v>
      </c>
      <c r="M97" s="27">
        <f>IF(Table63[[#This Row],[Total Revenue]]=0,0,Table63[[#This Row],[Profit]]/Table63[[#This Row],[Total Revenue]])</f>
        <v>0.42465493625539991</v>
      </c>
      <c r="N97" s="28" t="str">
        <f>YEAR(Table63[[#This Row],[Order Date]])&amp;"-"&amp;TEXT(Table63[[#This Row],[Order Date]],"mm")</f>
        <v>2023-04</v>
      </c>
      <c r="O97" s="22">
        <f>IF(Table63[[#This Row],[Unit sold Filled]]=0,0,Table63[[#This Row],[Total Revenue]]/Table63[[#This Row],[Unit sold Filled]])</f>
        <v>474.55</v>
      </c>
    </row>
    <row r="98" spans="1:15" ht="15" thickBot="1" x14ac:dyDescent="0.35">
      <c r="A98" s="15" t="s">
        <v>125</v>
      </c>
      <c r="B98" s="17" t="s">
        <v>48</v>
      </c>
      <c r="C98" s="15" t="s">
        <v>18</v>
      </c>
      <c r="D98" t="s">
        <v>23</v>
      </c>
      <c r="E98" s="15" t="s">
        <v>14</v>
      </c>
      <c r="F98" s="15" t="s">
        <v>28</v>
      </c>
      <c r="G98" s="18">
        <v>45023</v>
      </c>
      <c r="H98" s="24">
        <v>55</v>
      </c>
      <c r="I98" s="23">
        <v>130</v>
      </c>
      <c r="J98" s="17">
        <v>77.5</v>
      </c>
      <c r="K98">
        <v>7150</v>
      </c>
      <c r="L98" s="22">
        <f>(Table63[[#This Row],[Unit sold Filled]]*Table63[[#This Row],[Unit Price Filled]])-(Table63[[#This Row],[Unit sold Filled]]*Table63[[#This Row],[Unit Cost]])</f>
        <v>2887.5</v>
      </c>
      <c r="M98" s="27">
        <f>IF(Table63[[#This Row],[Total Revenue]]=0,0,Table63[[#This Row],[Profit]]/Table63[[#This Row],[Total Revenue]])</f>
        <v>0.40384615384615385</v>
      </c>
      <c r="N98" s="28" t="str">
        <f>YEAR(Table63[[#This Row],[Order Date]])&amp;"-"&amp;TEXT(Table63[[#This Row],[Order Date]],"mm")</f>
        <v>2023-04</v>
      </c>
      <c r="O98" s="22">
        <f>IF(Table63[[#This Row],[Unit sold Filled]]=0,0,Table63[[#This Row],[Total Revenue]]/Table63[[#This Row],[Unit sold Filled]])</f>
        <v>130</v>
      </c>
    </row>
    <row r="99" spans="1:15" ht="15" thickBot="1" x14ac:dyDescent="0.35">
      <c r="A99" s="1" t="s">
        <v>126</v>
      </c>
      <c r="B99" s="3" t="s">
        <v>17</v>
      </c>
      <c r="C99" s="1" t="s">
        <v>26</v>
      </c>
      <c r="D99" t="s">
        <v>23</v>
      </c>
      <c r="E99" s="1" t="s">
        <v>14</v>
      </c>
      <c r="F99" s="1" t="s">
        <v>15</v>
      </c>
      <c r="G99" s="2">
        <v>45024</v>
      </c>
      <c r="H99" s="24">
        <v>164</v>
      </c>
      <c r="I99" s="23">
        <v>182.83</v>
      </c>
      <c r="J99" s="3">
        <v>248.34</v>
      </c>
      <c r="K99">
        <v>29984.120000000003</v>
      </c>
      <c r="L99" s="22">
        <f>(Table63[[#This Row],[Unit sold Filled]]*Table63[[#This Row],[Unit Price Filled]])-(Table63[[#This Row],[Unit sold Filled]]*Table63[[#This Row],[Unit Cost]])</f>
        <v>-10743.64</v>
      </c>
      <c r="M99" s="27">
        <f>IF(Table63[[#This Row],[Total Revenue]]=0,0,Table63[[#This Row],[Profit]]/Table63[[#This Row],[Total Revenue]])</f>
        <v>-0.35831099928895688</v>
      </c>
      <c r="N99" s="28" t="str">
        <f>YEAR(Table63[[#This Row],[Order Date]])&amp;"-"&amp;TEXT(Table63[[#This Row],[Order Date]],"mm")</f>
        <v>2023-04</v>
      </c>
      <c r="O99" s="22">
        <f>IF(Table63[[#This Row],[Unit sold Filled]]=0,0,Table63[[#This Row],[Total Revenue]]/Table63[[#This Row],[Unit sold Filled]])</f>
        <v>182.83</v>
      </c>
    </row>
    <row r="100" spans="1:15" ht="15" thickBot="1" x14ac:dyDescent="0.35">
      <c r="A100" s="15" t="s">
        <v>127</v>
      </c>
      <c r="B100" s="17" t="s">
        <v>48</v>
      </c>
      <c r="C100" s="15" t="s">
        <v>26</v>
      </c>
      <c r="D100" t="s">
        <v>42</v>
      </c>
      <c r="E100" s="15" t="s">
        <v>14</v>
      </c>
      <c r="F100" s="15" t="s">
        <v>15</v>
      </c>
      <c r="G100" s="18">
        <v>45025</v>
      </c>
      <c r="H100" s="24">
        <v>122</v>
      </c>
      <c r="I100" s="23">
        <v>192.78</v>
      </c>
      <c r="J100" s="17">
        <v>130.75</v>
      </c>
      <c r="K100">
        <v>23519.16</v>
      </c>
      <c r="L100" s="22">
        <f>(Table63[[#This Row],[Unit sold Filled]]*Table63[[#This Row],[Unit Price Filled]])-(Table63[[#This Row],[Unit sold Filled]]*Table63[[#This Row],[Unit Cost]])</f>
        <v>7567.66</v>
      </c>
      <c r="M100" s="27">
        <f>IF(Table63[[#This Row],[Total Revenue]]=0,0,Table63[[#This Row],[Profit]]/Table63[[#This Row],[Total Revenue]])</f>
        <v>0.3217657433343708</v>
      </c>
      <c r="N100" s="28" t="str">
        <f>YEAR(Table63[[#This Row],[Order Date]])&amp;"-"&amp;TEXT(Table63[[#This Row],[Order Date]],"mm")</f>
        <v>2023-04</v>
      </c>
      <c r="O100" s="22">
        <f>IF(Table63[[#This Row],[Unit sold Filled]]=0,0,Table63[[#This Row],[Total Revenue]]/Table63[[#This Row],[Unit sold Filled]])</f>
        <v>192.78</v>
      </c>
    </row>
    <row r="101" spans="1:15" ht="15" thickBot="1" x14ac:dyDescent="0.35">
      <c r="A101" s="1" t="s">
        <v>128</v>
      </c>
      <c r="B101" s="3" t="s">
        <v>22</v>
      </c>
      <c r="C101" s="1" t="s">
        <v>31</v>
      </c>
      <c r="D101" t="s">
        <v>13</v>
      </c>
      <c r="E101" s="1" t="s">
        <v>24</v>
      </c>
      <c r="F101" s="1" t="s">
        <v>20</v>
      </c>
      <c r="G101" s="2">
        <v>45026</v>
      </c>
      <c r="H101" s="24">
        <v>242</v>
      </c>
      <c r="I101" s="23">
        <v>304.74</v>
      </c>
      <c r="J101" s="3">
        <v>334.05</v>
      </c>
      <c r="K101">
        <v>73747.08</v>
      </c>
      <c r="L101" s="22">
        <f>(Table63[[#This Row],[Unit sold Filled]]*Table63[[#This Row],[Unit Price Filled]])-(Table63[[#This Row],[Unit sold Filled]]*Table63[[#This Row],[Unit Cost]])</f>
        <v>-7093.0200000000041</v>
      </c>
      <c r="M101" s="27">
        <f>IF(Table63[[#This Row],[Total Revenue]]=0,0,Table63[[#This Row],[Profit]]/Table63[[#This Row],[Total Revenue]])</f>
        <v>-9.6180350462689565E-2</v>
      </c>
      <c r="N101" s="28" t="str">
        <f>YEAR(Table63[[#This Row],[Order Date]])&amp;"-"&amp;TEXT(Table63[[#This Row],[Order Date]],"mm")</f>
        <v>2023-04</v>
      </c>
      <c r="O101" s="22">
        <f>IF(Table63[[#This Row],[Unit sold Filled]]=0,0,Table63[[#This Row],[Total Revenue]]/Table63[[#This Row],[Unit sold Filled]])</f>
        <v>304.74</v>
      </c>
    </row>
    <row r="102" spans="1:15" ht="15" thickBot="1" x14ac:dyDescent="0.35">
      <c r="A102" s="15" t="s">
        <v>129</v>
      </c>
      <c r="B102" s="17" t="s">
        <v>11</v>
      </c>
      <c r="C102" s="15" t="s">
        <v>26</v>
      </c>
      <c r="D102" t="s">
        <v>42</v>
      </c>
      <c r="E102" s="15" t="s">
        <v>24</v>
      </c>
      <c r="F102" s="15" t="s">
        <v>20</v>
      </c>
      <c r="G102" s="18">
        <v>45027</v>
      </c>
      <c r="H102" s="24">
        <v>26</v>
      </c>
      <c r="I102" s="23">
        <v>181.58</v>
      </c>
      <c r="J102" s="17">
        <v>252.46</v>
      </c>
      <c r="K102">
        <v>4721.08</v>
      </c>
      <c r="L102" s="22">
        <f>(Table63[[#This Row],[Unit sold Filled]]*Table63[[#This Row],[Unit Price Filled]])-(Table63[[#This Row],[Unit sold Filled]]*Table63[[#This Row],[Unit Cost]])</f>
        <v>-1842.88</v>
      </c>
      <c r="M102" s="27">
        <f>IF(Table63[[#This Row],[Total Revenue]]=0,0,Table63[[#This Row],[Profit]]/Table63[[#This Row],[Total Revenue]])</f>
        <v>-0.39035136028196943</v>
      </c>
      <c r="N102" s="28" t="str">
        <f>YEAR(Table63[[#This Row],[Order Date]])&amp;"-"&amp;TEXT(Table63[[#This Row],[Order Date]],"mm")</f>
        <v>2023-04</v>
      </c>
      <c r="O102" s="22">
        <f>IF(Table63[[#This Row],[Unit sold Filled]]=0,0,Table63[[#This Row],[Total Revenue]]/Table63[[#This Row],[Unit sold Filled]])</f>
        <v>181.57999999999998</v>
      </c>
    </row>
    <row r="103" spans="1:15" ht="15" thickBot="1" x14ac:dyDescent="0.35">
      <c r="A103" s="1" t="s">
        <v>130</v>
      </c>
      <c r="B103" s="3" t="s">
        <v>48</v>
      </c>
      <c r="C103" s="1" t="s">
        <v>26</v>
      </c>
      <c r="D103" t="s">
        <v>27</v>
      </c>
      <c r="E103" s="1" t="s">
        <v>14</v>
      </c>
      <c r="F103" s="1" t="s">
        <v>15</v>
      </c>
      <c r="G103" s="2">
        <v>45028</v>
      </c>
      <c r="H103" s="24">
        <v>369</v>
      </c>
      <c r="I103" s="23">
        <v>269.08999999999997</v>
      </c>
      <c r="J103" s="3">
        <v>81.14</v>
      </c>
      <c r="K103">
        <v>99294.209999999992</v>
      </c>
      <c r="L103" s="22">
        <f>(Table63[[#This Row],[Unit sold Filled]]*Table63[[#This Row],[Unit Price Filled]])-(Table63[[#This Row],[Unit sold Filled]]*Table63[[#This Row],[Unit Cost]])</f>
        <v>69353.549999999988</v>
      </c>
      <c r="M103" s="27">
        <f>IF(Table63[[#This Row],[Total Revenue]]=0,0,Table63[[#This Row],[Profit]]/Table63[[#This Row],[Total Revenue]])</f>
        <v>0.69846519751755909</v>
      </c>
      <c r="N103" s="28" t="str">
        <f>YEAR(Table63[[#This Row],[Order Date]])&amp;"-"&amp;TEXT(Table63[[#This Row],[Order Date]],"mm")</f>
        <v>2023-04</v>
      </c>
      <c r="O103" s="22">
        <f>IF(Table63[[#This Row],[Unit sold Filled]]=0,0,Table63[[#This Row],[Total Revenue]]/Table63[[#This Row],[Unit sold Filled]])</f>
        <v>269.08999999999997</v>
      </c>
    </row>
    <row r="104" spans="1:15" ht="15" thickBot="1" x14ac:dyDescent="0.35">
      <c r="A104" s="15" t="s">
        <v>131</v>
      </c>
      <c r="B104" s="17" t="s">
        <v>48</v>
      </c>
      <c r="C104" s="15" t="s">
        <v>31</v>
      </c>
      <c r="D104" t="s">
        <v>42</v>
      </c>
      <c r="E104" s="15" t="s">
        <v>24</v>
      </c>
      <c r="F104" s="15" t="s">
        <v>20</v>
      </c>
      <c r="G104" s="18">
        <v>45029</v>
      </c>
      <c r="H104" s="24">
        <v>232</v>
      </c>
      <c r="I104" s="23">
        <v>391.99</v>
      </c>
      <c r="J104" s="17">
        <v>27.72</v>
      </c>
      <c r="K104">
        <v>90941.680000000008</v>
      </c>
      <c r="L104" s="22">
        <f>(Table63[[#This Row],[Unit sold Filled]]*Table63[[#This Row],[Unit Price Filled]])-(Table63[[#This Row],[Unit sold Filled]]*Table63[[#This Row],[Unit Cost]])</f>
        <v>84510.640000000014</v>
      </c>
      <c r="M104" s="27">
        <f>IF(Table63[[#This Row],[Total Revenue]]=0,0,Table63[[#This Row],[Profit]]/Table63[[#This Row],[Total Revenue]])</f>
        <v>0.92928391030383439</v>
      </c>
      <c r="N104" s="28" t="str">
        <f>YEAR(Table63[[#This Row],[Order Date]])&amp;"-"&amp;TEXT(Table63[[#This Row],[Order Date]],"mm")</f>
        <v>2023-04</v>
      </c>
      <c r="O104" s="22">
        <f>IF(Table63[[#This Row],[Unit sold Filled]]=0,0,Table63[[#This Row],[Total Revenue]]/Table63[[#This Row],[Unit sold Filled]])</f>
        <v>391.99</v>
      </c>
    </row>
    <row r="105" spans="1:15" ht="15" thickBot="1" x14ac:dyDescent="0.35">
      <c r="A105" s="1" t="s">
        <v>132</v>
      </c>
      <c r="B105" s="3" t="s">
        <v>17</v>
      </c>
      <c r="C105" s="1" t="s">
        <v>26</v>
      </c>
      <c r="D105" t="s">
        <v>23</v>
      </c>
      <c r="E105" s="1" t="s">
        <v>14</v>
      </c>
      <c r="F105" s="1" t="s">
        <v>20</v>
      </c>
      <c r="G105" s="2">
        <v>45030</v>
      </c>
      <c r="H105" s="24">
        <v>363</v>
      </c>
      <c r="I105" s="23">
        <v>354.17</v>
      </c>
      <c r="J105" s="3">
        <v>18.97</v>
      </c>
      <c r="K105">
        <v>128563.71</v>
      </c>
      <c r="L105" s="22">
        <f>(Table63[[#This Row],[Unit sold Filled]]*Table63[[#This Row],[Unit Price Filled]])-(Table63[[#This Row],[Unit sold Filled]]*Table63[[#This Row],[Unit Cost]])</f>
        <v>121677.6</v>
      </c>
      <c r="M105" s="27">
        <f>IF(Table63[[#This Row],[Total Revenue]]=0,0,Table63[[#This Row],[Profit]]/Table63[[#This Row],[Total Revenue]])</f>
        <v>0.94643815117034191</v>
      </c>
      <c r="N105" s="28" t="str">
        <f>YEAR(Table63[[#This Row],[Order Date]])&amp;"-"&amp;TEXT(Table63[[#This Row],[Order Date]],"mm")</f>
        <v>2023-04</v>
      </c>
      <c r="O105" s="22">
        <f>IF(Table63[[#This Row],[Unit sold Filled]]=0,0,Table63[[#This Row],[Total Revenue]]/Table63[[#This Row],[Unit sold Filled]])</f>
        <v>354.17</v>
      </c>
    </row>
    <row r="106" spans="1:15" ht="15" thickBot="1" x14ac:dyDescent="0.35">
      <c r="A106" s="15" t="s">
        <v>133</v>
      </c>
      <c r="B106" s="17" t="s">
        <v>48</v>
      </c>
      <c r="C106" s="15" t="s">
        <v>26</v>
      </c>
      <c r="D106" t="s">
        <v>42</v>
      </c>
      <c r="E106" s="15" t="s">
        <v>14</v>
      </c>
      <c r="F106" s="15" t="s">
        <v>20</v>
      </c>
      <c r="G106" s="18">
        <v>45031</v>
      </c>
      <c r="H106" s="24">
        <v>197</v>
      </c>
      <c r="I106" s="23">
        <v>225.95</v>
      </c>
      <c r="J106" s="17">
        <v>149.82</v>
      </c>
      <c r="K106">
        <v>44512.149999999994</v>
      </c>
      <c r="L106" s="22">
        <f>(Table63[[#This Row],[Unit sold Filled]]*Table63[[#This Row],[Unit Price Filled]])-(Table63[[#This Row],[Unit sold Filled]]*Table63[[#This Row],[Unit Cost]])</f>
        <v>14997.609999999997</v>
      </c>
      <c r="M106" s="27">
        <f>IF(Table63[[#This Row],[Total Revenue]]=0,0,Table63[[#This Row],[Profit]]/Table63[[#This Row],[Total Revenue]])</f>
        <v>0.3369329497676477</v>
      </c>
      <c r="N106" s="28" t="str">
        <f>YEAR(Table63[[#This Row],[Order Date]])&amp;"-"&amp;TEXT(Table63[[#This Row],[Order Date]],"mm")</f>
        <v>2023-04</v>
      </c>
      <c r="O106" s="22">
        <f>IF(Table63[[#This Row],[Unit sold Filled]]=0,0,Table63[[#This Row],[Total Revenue]]/Table63[[#This Row],[Unit sold Filled]])</f>
        <v>225.94999999999996</v>
      </c>
    </row>
    <row r="107" spans="1:15" ht="15" thickBot="1" x14ac:dyDescent="0.35">
      <c r="A107" s="1" t="s">
        <v>134</v>
      </c>
      <c r="B107" s="3" t="s">
        <v>48</v>
      </c>
      <c r="C107" s="1" t="s">
        <v>26</v>
      </c>
      <c r="D107" t="s">
        <v>13</v>
      </c>
      <c r="E107" s="1" t="s">
        <v>14</v>
      </c>
      <c r="F107" s="1" t="s">
        <v>28</v>
      </c>
      <c r="G107" s="2">
        <v>45032</v>
      </c>
      <c r="H107" s="24">
        <v>457</v>
      </c>
      <c r="I107" s="23">
        <v>432.79</v>
      </c>
      <c r="J107" s="3">
        <v>107.81</v>
      </c>
      <c r="K107">
        <v>197785.03</v>
      </c>
      <c r="L107" s="22">
        <f>(Table63[[#This Row],[Unit sold Filled]]*Table63[[#This Row],[Unit Price Filled]])-(Table63[[#This Row],[Unit sold Filled]]*Table63[[#This Row],[Unit Cost]])</f>
        <v>148515.85999999999</v>
      </c>
      <c r="M107" s="27">
        <f>IF(Table63[[#This Row],[Total Revenue]]=0,0,Table63[[#This Row],[Profit]]/Table63[[#This Row],[Total Revenue]])</f>
        <v>0.75089535340465341</v>
      </c>
      <c r="N107" s="28" t="str">
        <f>YEAR(Table63[[#This Row],[Order Date]])&amp;"-"&amp;TEXT(Table63[[#This Row],[Order Date]],"mm")</f>
        <v>2023-04</v>
      </c>
      <c r="O107" s="22">
        <f>IF(Table63[[#This Row],[Unit sold Filled]]=0,0,Table63[[#This Row],[Total Revenue]]/Table63[[#This Row],[Unit sold Filled]])</f>
        <v>432.79</v>
      </c>
    </row>
    <row r="108" spans="1:15" ht="15" thickBot="1" x14ac:dyDescent="0.35">
      <c r="A108" s="15" t="s">
        <v>135</v>
      </c>
      <c r="B108" s="17" t="s">
        <v>48</v>
      </c>
      <c r="C108" s="15" t="s">
        <v>18</v>
      </c>
      <c r="D108" t="s">
        <v>19</v>
      </c>
      <c r="E108" s="15" t="s">
        <v>14</v>
      </c>
      <c r="F108" s="15" t="s">
        <v>28</v>
      </c>
      <c r="G108" s="18">
        <v>45033</v>
      </c>
      <c r="H108" s="24">
        <v>353</v>
      </c>
      <c r="I108" s="23">
        <v>281.27999999999997</v>
      </c>
      <c r="J108" s="17">
        <v>259.14</v>
      </c>
      <c r="K108">
        <v>99291.839999999997</v>
      </c>
      <c r="L108" s="22">
        <f>(Table63[[#This Row],[Unit sold Filled]]*Table63[[#This Row],[Unit Price Filled]])-(Table63[[#This Row],[Unit sold Filled]]*Table63[[#This Row],[Unit Cost]])</f>
        <v>7815.4199999999983</v>
      </c>
      <c r="M108" s="27">
        <f>IF(Table63[[#This Row],[Total Revenue]]=0,0,Table63[[#This Row],[Profit]]/Table63[[#This Row],[Total Revenue]])</f>
        <v>7.8711604095563131E-2</v>
      </c>
      <c r="N108" s="28" t="str">
        <f>YEAR(Table63[[#This Row],[Order Date]])&amp;"-"&amp;TEXT(Table63[[#This Row],[Order Date]],"mm")</f>
        <v>2023-04</v>
      </c>
      <c r="O108" s="22">
        <f>IF(Table63[[#This Row],[Unit sold Filled]]=0,0,Table63[[#This Row],[Total Revenue]]/Table63[[#This Row],[Unit sold Filled]])</f>
        <v>281.27999999999997</v>
      </c>
    </row>
    <row r="109" spans="1:15" ht="15" thickBot="1" x14ac:dyDescent="0.35">
      <c r="A109" s="1" t="s">
        <v>136</v>
      </c>
      <c r="B109" s="3" t="s">
        <v>17</v>
      </c>
      <c r="C109" s="1" t="s">
        <v>18</v>
      </c>
      <c r="D109" t="s">
        <v>42</v>
      </c>
      <c r="E109" s="1" t="s">
        <v>24</v>
      </c>
      <c r="F109" s="1" t="s">
        <v>20</v>
      </c>
      <c r="G109" s="2">
        <v>45034</v>
      </c>
      <c r="H109" s="24">
        <v>374</v>
      </c>
      <c r="I109" s="23">
        <v>272.25</v>
      </c>
      <c r="J109" s="3">
        <v>200.73</v>
      </c>
      <c r="K109">
        <v>101821.5</v>
      </c>
      <c r="L109" s="22">
        <f>(Table63[[#This Row],[Unit sold Filled]]*Table63[[#This Row],[Unit Price Filled]])-(Table63[[#This Row],[Unit sold Filled]]*Table63[[#This Row],[Unit Cost]])</f>
        <v>26748.48000000001</v>
      </c>
      <c r="M109" s="27">
        <f>IF(Table63[[#This Row],[Total Revenue]]=0,0,Table63[[#This Row],[Profit]]/Table63[[#This Row],[Total Revenue]])</f>
        <v>0.26269972451790646</v>
      </c>
      <c r="N109" s="28" t="str">
        <f>YEAR(Table63[[#This Row],[Order Date]])&amp;"-"&amp;TEXT(Table63[[#This Row],[Order Date]],"mm")</f>
        <v>2023-04</v>
      </c>
      <c r="O109" s="22">
        <f>IF(Table63[[#This Row],[Unit sold Filled]]=0,0,Table63[[#This Row],[Total Revenue]]/Table63[[#This Row],[Unit sold Filled]])</f>
        <v>272.25</v>
      </c>
    </row>
    <row r="110" spans="1:15" ht="15" thickBot="1" x14ac:dyDescent="0.35">
      <c r="A110" s="15" t="s">
        <v>137</v>
      </c>
      <c r="B110" s="17" t="s">
        <v>48</v>
      </c>
      <c r="C110" s="15" t="s">
        <v>18</v>
      </c>
      <c r="D110" t="s">
        <v>13</v>
      </c>
      <c r="E110" s="15" t="s">
        <v>24</v>
      </c>
      <c r="F110" s="15" t="s">
        <v>20</v>
      </c>
      <c r="G110" s="18">
        <v>45035</v>
      </c>
      <c r="H110" s="24">
        <v>172</v>
      </c>
      <c r="I110" s="23">
        <v>21.92</v>
      </c>
      <c r="J110" s="17">
        <v>107.88</v>
      </c>
      <c r="K110">
        <v>3770.2400000000002</v>
      </c>
      <c r="L110" s="22">
        <f>(Table63[[#This Row],[Unit sold Filled]]*Table63[[#This Row],[Unit Price Filled]])-(Table63[[#This Row],[Unit sold Filled]]*Table63[[#This Row],[Unit Cost]])</f>
        <v>-14785.12</v>
      </c>
      <c r="M110" s="27">
        <f>IF(Table63[[#This Row],[Total Revenue]]=0,0,Table63[[#This Row],[Profit]]/Table63[[#This Row],[Total Revenue]])</f>
        <v>-3.9215328467153285</v>
      </c>
      <c r="N110" s="28" t="str">
        <f>YEAR(Table63[[#This Row],[Order Date]])&amp;"-"&amp;TEXT(Table63[[#This Row],[Order Date]],"mm")</f>
        <v>2023-04</v>
      </c>
      <c r="O110" s="22">
        <f>IF(Table63[[#This Row],[Unit sold Filled]]=0,0,Table63[[#This Row],[Total Revenue]]/Table63[[#This Row],[Unit sold Filled]])</f>
        <v>21.92</v>
      </c>
    </row>
    <row r="111" spans="1:15" ht="15" thickBot="1" x14ac:dyDescent="0.35">
      <c r="A111" s="1" t="s">
        <v>138</v>
      </c>
      <c r="B111" s="3" t="s">
        <v>11</v>
      </c>
      <c r="C111" s="1" t="s">
        <v>31</v>
      </c>
      <c r="D111" t="s">
        <v>13</v>
      </c>
      <c r="E111" s="1" t="s">
        <v>24</v>
      </c>
      <c r="F111" s="1" t="s">
        <v>28</v>
      </c>
      <c r="G111" s="2">
        <v>45036</v>
      </c>
      <c r="H111" s="24">
        <v>335</v>
      </c>
      <c r="I111" s="23">
        <v>493.41</v>
      </c>
      <c r="J111" s="3">
        <v>61.4</v>
      </c>
      <c r="K111">
        <v>165292.35</v>
      </c>
      <c r="L111" s="22">
        <f>(Table63[[#This Row],[Unit sold Filled]]*Table63[[#This Row],[Unit Price Filled]])-(Table63[[#This Row],[Unit sold Filled]]*Table63[[#This Row],[Unit Cost]])</f>
        <v>144723.35</v>
      </c>
      <c r="M111" s="27">
        <f>IF(Table63[[#This Row],[Total Revenue]]=0,0,Table63[[#This Row],[Profit]]/Table63[[#This Row],[Total Revenue]])</f>
        <v>0.87555987920796097</v>
      </c>
      <c r="N111" s="28" t="str">
        <f>YEAR(Table63[[#This Row],[Order Date]])&amp;"-"&amp;TEXT(Table63[[#This Row],[Order Date]],"mm")</f>
        <v>2023-04</v>
      </c>
      <c r="O111" s="22">
        <f>IF(Table63[[#This Row],[Unit sold Filled]]=0,0,Table63[[#This Row],[Total Revenue]]/Table63[[#This Row],[Unit sold Filled]])</f>
        <v>493.41</v>
      </c>
    </row>
    <row r="112" spans="1:15" ht="15" thickBot="1" x14ac:dyDescent="0.35">
      <c r="A112" s="15" t="s">
        <v>139</v>
      </c>
      <c r="B112" s="17" t="s">
        <v>17</v>
      </c>
      <c r="C112" s="15" t="s">
        <v>50</v>
      </c>
      <c r="D112" t="s">
        <v>23</v>
      </c>
      <c r="E112" s="15" t="s">
        <v>14</v>
      </c>
      <c r="F112" s="15" t="s">
        <v>28</v>
      </c>
      <c r="G112" s="18">
        <v>45037</v>
      </c>
      <c r="H112" s="24">
        <v>476</v>
      </c>
      <c r="I112" s="23">
        <v>65.87</v>
      </c>
      <c r="J112" s="17">
        <v>52.63</v>
      </c>
      <c r="K112">
        <v>31354.120000000003</v>
      </c>
      <c r="L112" s="22">
        <f>(Table63[[#This Row],[Unit sold Filled]]*Table63[[#This Row],[Unit Price Filled]])-(Table63[[#This Row],[Unit sold Filled]]*Table63[[#This Row],[Unit Cost]])</f>
        <v>6302.2400000000016</v>
      </c>
      <c r="M112" s="27">
        <f>IF(Table63[[#This Row],[Total Revenue]]=0,0,Table63[[#This Row],[Profit]]/Table63[[#This Row],[Total Revenue]])</f>
        <v>0.2010019735843328</v>
      </c>
      <c r="N112" s="28" t="str">
        <f>YEAR(Table63[[#This Row],[Order Date]])&amp;"-"&amp;TEXT(Table63[[#This Row],[Order Date]],"mm")</f>
        <v>2023-04</v>
      </c>
      <c r="O112" s="22">
        <f>IF(Table63[[#This Row],[Unit sold Filled]]=0,0,Table63[[#This Row],[Total Revenue]]/Table63[[#This Row],[Unit sold Filled]])</f>
        <v>65.87</v>
      </c>
    </row>
    <row r="113" spans="1:15" ht="15" thickBot="1" x14ac:dyDescent="0.35">
      <c r="A113" s="1" t="s">
        <v>140</v>
      </c>
      <c r="B113" s="3" t="s">
        <v>11</v>
      </c>
      <c r="C113" s="1" t="s">
        <v>26</v>
      </c>
      <c r="D113" t="s">
        <v>13</v>
      </c>
      <c r="E113" s="1" t="s">
        <v>14</v>
      </c>
      <c r="F113" s="1" t="s">
        <v>15</v>
      </c>
      <c r="G113" s="2">
        <v>45038</v>
      </c>
      <c r="H113" s="24">
        <v>423</v>
      </c>
      <c r="I113" s="23">
        <v>119.41</v>
      </c>
      <c r="J113" s="3">
        <v>346.13</v>
      </c>
      <c r="K113">
        <v>50510.43</v>
      </c>
      <c r="L113" s="22">
        <f>(Table63[[#This Row],[Unit sold Filled]]*Table63[[#This Row],[Unit Price Filled]])-(Table63[[#This Row],[Unit sold Filled]]*Table63[[#This Row],[Unit Cost]])</f>
        <v>-95902.56</v>
      </c>
      <c r="M113" s="27">
        <f>IF(Table63[[#This Row],[Total Revenue]]=0,0,Table63[[#This Row],[Profit]]/Table63[[#This Row],[Total Revenue]])</f>
        <v>-1.8986684532283729</v>
      </c>
      <c r="N113" s="28" t="str">
        <f>YEAR(Table63[[#This Row],[Order Date]])&amp;"-"&amp;TEXT(Table63[[#This Row],[Order Date]],"mm")</f>
        <v>2023-04</v>
      </c>
      <c r="O113" s="22">
        <f>IF(Table63[[#This Row],[Unit sold Filled]]=0,0,Table63[[#This Row],[Total Revenue]]/Table63[[#This Row],[Unit sold Filled]])</f>
        <v>119.41</v>
      </c>
    </row>
    <row r="114" spans="1:15" ht="15" thickBot="1" x14ac:dyDescent="0.35">
      <c r="A114" s="15" t="s">
        <v>141</v>
      </c>
      <c r="B114" s="17" t="s">
        <v>17</v>
      </c>
      <c r="C114" s="15" t="s">
        <v>26</v>
      </c>
      <c r="D114" t="s">
        <v>13</v>
      </c>
      <c r="E114" s="15" t="s">
        <v>14</v>
      </c>
      <c r="F114" s="15" t="s">
        <v>15</v>
      </c>
      <c r="G114" s="18">
        <v>45039</v>
      </c>
      <c r="H114" s="24">
        <v>464</v>
      </c>
      <c r="I114" s="23">
        <v>30.59</v>
      </c>
      <c r="J114" s="17">
        <v>98.9</v>
      </c>
      <c r="K114">
        <v>14193.76</v>
      </c>
      <c r="L114" s="22">
        <f>(Table63[[#This Row],[Unit sold Filled]]*Table63[[#This Row],[Unit Price Filled]])-(Table63[[#This Row],[Unit sold Filled]]*Table63[[#This Row],[Unit Cost]])</f>
        <v>-31695.840000000004</v>
      </c>
      <c r="M114" s="27">
        <f>IF(Table63[[#This Row],[Total Revenue]]=0,0,Table63[[#This Row],[Profit]]/Table63[[#This Row],[Total Revenue]])</f>
        <v>-2.2330827067669174</v>
      </c>
      <c r="N114" s="28" t="str">
        <f>YEAR(Table63[[#This Row],[Order Date]])&amp;"-"&amp;TEXT(Table63[[#This Row],[Order Date]],"mm")</f>
        <v>2023-04</v>
      </c>
      <c r="O114" s="22">
        <f>IF(Table63[[#This Row],[Unit sold Filled]]=0,0,Table63[[#This Row],[Total Revenue]]/Table63[[#This Row],[Unit sold Filled]])</f>
        <v>30.59</v>
      </c>
    </row>
    <row r="115" spans="1:15" ht="15" thickBot="1" x14ac:dyDescent="0.35">
      <c r="A115" s="1" t="s">
        <v>142</v>
      </c>
      <c r="B115" s="3" t="s">
        <v>48</v>
      </c>
      <c r="C115" s="1" t="s">
        <v>31</v>
      </c>
      <c r="D115" t="s">
        <v>13</v>
      </c>
      <c r="E115" s="1" t="s">
        <v>24</v>
      </c>
      <c r="F115" s="1" t="s">
        <v>28</v>
      </c>
      <c r="G115" s="2">
        <v>45040</v>
      </c>
      <c r="H115" s="24">
        <v>83</v>
      </c>
      <c r="I115" s="23">
        <v>321.8</v>
      </c>
      <c r="J115" s="3">
        <v>261.38</v>
      </c>
      <c r="K115">
        <v>26709.4</v>
      </c>
      <c r="L115" s="22">
        <f>(Table63[[#This Row],[Unit sold Filled]]*Table63[[#This Row],[Unit Price Filled]])-(Table63[[#This Row],[Unit sold Filled]]*Table63[[#This Row],[Unit Cost]])</f>
        <v>5014.8600000000006</v>
      </c>
      <c r="M115" s="27">
        <f>IF(Table63[[#This Row],[Total Revenue]]=0,0,Table63[[#This Row],[Profit]]/Table63[[#This Row],[Total Revenue]])</f>
        <v>0.18775637041640772</v>
      </c>
      <c r="N115" s="28" t="str">
        <f>YEAR(Table63[[#This Row],[Order Date]])&amp;"-"&amp;TEXT(Table63[[#This Row],[Order Date]],"mm")</f>
        <v>2023-04</v>
      </c>
      <c r="O115" s="22">
        <f>IF(Table63[[#This Row],[Unit sold Filled]]=0,0,Table63[[#This Row],[Total Revenue]]/Table63[[#This Row],[Unit sold Filled]])</f>
        <v>321.8</v>
      </c>
    </row>
    <row r="116" spans="1:15" ht="15" thickBot="1" x14ac:dyDescent="0.35">
      <c r="A116" s="15" t="s">
        <v>143</v>
      </c>
      <c r="B116" s="17" t="s">
        <v>11</v>
      </c>
      <c r="C116" s="15" t="s">
        <v>26</v>
      </c>
      <c r="D116" t="s">
        <v>13</v>
      </c>
      <c r="E116" s="15" t="s">
        <v>14</v>
      </c>
      <c r="F116" s="15" t="s">
        <v>20</v>
      </c>
      <c r="G116" s="18">
        <v>45041</v>
      </c>
      <c r="H116" s="24">
        <v>242</v>
      </c>
      <c r="I116" s="23">
        <v>116.23</v>
      </c>
      <c r="J116" s="17">
        <v>324.64999999999998</v>
      </c>
      <c r="K116">
        <v>28127.66</v>
      </c>
      <c r="L116" s="22">
        <f>(Table63[[#This Row],[Unit sold Filled]]*Table63[[#This Row],[Unit Price Filled]])-(Table63[[#This Row],[Unit sold Filled]]*Table63[[#This Row],[Unit Cost]])</f>
        <v>-50437.639999999985</v>
      </c>
      <c r="M116" s="27">
        <f>IF(Table63[[#This Row],[Total Revenue]]=0,0,Table63[[#This Row],[Profit]]/Table63[[#This Row],[Total Revenue]])</f>
        <v>-1.7931687171986572</v>
      </c>
      <c r="N116" s="28" t="str">
        <f>YEAR(Table63[[#This Row],[Order Date]])&amp;"-"&amp;TEXT(Table63[[#This Row],[Order Date]],"mm")</f>
        <v>2023-04</v>
      </c>
      <c r="O116" s="22">
        <f>IF(Table63[[#This Row],[Unit sold Filled]]=0,0,Table63[[#This Row],[Total Revenue]]/Table63[[#This Row],[Unit sold Filled]])</f>
        <v>116.23</v>
      </c>
    </row>
    <row r="117" spans="1:15" ht="15" thickBot="1" x14ac:dyDescent="0.35">
      <c r="A117" s="1" t="s">
        <v>144</v>
      </c>
      <c r="B117" s="3" t="s">
        <v>17</v>
      </c>
      <c r="C117" s="1" t="s">
        <v>18</v>
      </c>
      <c r="D117" t="s">
        <v>27</v>
      </c>
      <c r="E117" s="1" t="s">
        <v>24</v>
      </c>
      <c r="F117" s="1" t="s">
        <v>20</v>
      </c>
      <c r="G117" s="2">
        <v>45042</v>
      </c>
      <c r="H117" s="24">
        <v>233</v>
      </c>
      <c r="I117" s="23">
        <v>94.11</v>
      </c>
      <c r="J117" s="3">
        <v>246.4</v>
      </c>
      <c r="K117">
        <v>21927.63</v>
      </c>
      <c r="L117" s="22">
        <f>(Table63[[#This Row],[Unit sold Filled]]*Table63[[#This Row],[Unit Price Filled]])-(Table63[[#This Row],[Unit sold Filled]]*Table63[[#This Row],[Unit Cost]])</f>
        <v>-35483.570000000007</v>
      </c>
      <c r="M117" s="27">
        <f>IF(Table63[[#This Row],[Total Revenue]]=0,0,Table63[[#This Row],[Profit]]/Table63[[#This Row],[Total Revenue]])</f>
        <v>-1.6182127297842952</v>
      </c>
      <c r="N117" s="28" t="str">
        <f>YEAR(Table63[[#This Row],[Order Date]])&amp;"-"&amp;TEXT(Table63[[#This Row],[Order Date]],"mm")</f>
        <v>2023-04</v>
      </c>
      <c r="O117" s="22">
        <f>IF(Table63[[#This Row],[Unit sold Filled]]=0,0,Table63[[#This Row],[Total Revenue]]/Table63[[#This Row],[Unit sold Filled]])</f>
        <v>94.11</v>
      </c>
    </row>
    <row r="118" spans="1:15" ht="15" thickBot="1" x14ac:dyDescent="0.35">
      <c r="A118" s="15" t="s">
        <v>145</v>
      </c>
      <c r="B118" s="17" t="s">
        <v>22</v>
      </c>
      <c r="C118" s="15" t="s">
        <v>50</v>
      </c>
      <c r="D118" t="s">
        <v>27</v>
      </c>
      <c r="E118" s="15" t="s">
        <v>24</v>
      </c>
      <c r="F118" s="15" t="s">
        <v>20</v>
      </c>
      <c r="G118" s="18">
        <v>45043</v>
      </c>
      <c r="H118" s="24">
        <v>491</v>
      </c>
      <c r="I118" s="23">
        <v>48.84</v>
      </c>
      <c r="J118" s="17">
        <v>344.11</v>
      </c>
      <c r="K118">
        <v>23980.440000000002</v>
      </c>
      <c r="L118" s="22">
        <f>(Table63[[#This Row],[Unit sold Filled]]*Table63[[#This Row],[Unit Price Filled]])-(Table63[[#This Row],[Unit sold Filled]]*Table63[[#This Row],[Unit Cost]])</f>
        <v>-144977.57</v>
      </c>
      <c r="M118" s="27">
        <f>IF(Table63[[#This Row],[Total Revenue]]=0,0,Table63[[#This Row],[Profit]]/Table63[[#This Row],[Total Revenue]])</f>
        <v>-6.0456592956592949</v>
      </c>
      <c r="N118" s="28" t="str">
        <f>YEAR(Table63[[#This Row],[Order Date]])&amp;"-"&amp;TEXT(Table63[[#This Row],[Order Date]],"mm")</f>
        <v>2023-04</v>
      </c>
      <c r="O118" s="22">
        <f>IF(Table63[[#This Row],[Unit sold Filled]]=0,0,Table63[[#This Row],[Total Revenue]]/Table63[[#This Row],[Unit sold Filled]])</f>
        <v>48.84</v>
      </c>
    </row>
    <row r="119" spans="1:15" ht="15" thickBot="1" x14ac:dyDescent="0.35">
      <c r="A119" s="1" t="s">
        <v>146</v>
      </c>
      <c r="B119" s="3" t="s">
        <v>17</v>
      </c>
      <c r="C119" s="1" t="s">
        <v>12</v>
      </c>
      <c r="D119" t="s">
        <v>23</v>
      </c>
      <c r="E119" s="1" t="s">
        <v>24</v>
      </c>
      <c r="F119" s="1" t="s">
        <v>20</v>
      </c>
      <c r="G119" s="2">
        <v>45044</v>
      </c>
      <c r="H119" s="24">
        <v>328</v>
      </c>
      <c r="I119" s="23">
        <v>56.14</v>
      </c>
      <c r="J119" s="3">
        <v>158.16999999999999</v>
      </c>
      <c r="K119">
        <v>18413.920000000002</v>
      </c>
      <c r="L119" s="22">
        <f>(Table63[[#This Row],[Unit sold Filled]]*Table63[[#This Row],[Unit Price Filled]])-(Table63[[#This Row],[Unit sold Filled]]*Table63[[#This Row],[Unit Cost]])</f>
        <v>-33465.839999999997</v>
      </c>
      <c r="M119" s="27">
        <f>IF(Table63[[#This Row],[Total Revenue]]=0,0,Table63[[#This Row],[Profit]]/Table63[[#This Row],[Total Revenue]])</f>
        <v>-1.8174207338795865</v>
      </c>
      <c r="N119" s="28" t="str">
        <f>YEAR(Table63[[#This Row],[Order Date]])&amp;"-"&amp;TEXT(Table63[[#This Row],[Order Date]],"mm")</f>
        <v>2023-04</v>
      </c>
      <c r="O119" s="22">
        <f>IF(Table63[[#This Row],[Unit sold Filled]]=0,0,Table63[[#This Row],[Total Revenue]]/Table63[[#This Row],[Unit sold Filled]])</f>
        <v>56.140000000000008</v>
      </c>
    </row>
    <row r="120" spans="1:15" ht="15" thickBot="1" x14ac:dyDescent="0.35">
      <c r="A120" s="15" t="s">
        <v>147</v>
      </c>
      <c r="B120" s="17" t="s">
        <v>17</v>
      </c>
      <c r="C120" s="15" t="s">
        <v>26</v>
      </c>
      <c r="D120" t="s">
        <v>42</v>
      </c>
      <c r="E120" s="15" t="s">
        <v>24</v>
      </c>
      <c r="F120" s="15" t="s">
        <v>15</v>
      </c>
      <c r="G120" s="18">
        <v>45045</v>
      </c>
      <c r="H120" s="24">
        <v>421</v>
      </c>
      <c r="I120" s="23">
        <v>294.41000000000003</v>
      </c>
      <c r="J120" s="17">
        <v>382.58</v>
      </c>
      <c r="K120">
        <v>123946.61000000002</v>
      </c>
      <c r="L120" s="22">
        <f>(Table63[[#This Row],[Unit sold Filled]]*Table63[[#This Row],[Unit Price Filled]])-(Table63[[#This Row],[Unit sold Filled]]*Table63[[#This Row],[Unit Cost]])</f>
        <v>-37119.569999999978</v>
      </c>
      <c r="M120" s="27">
        <f>IF(Table63[[#This Row],[Total Revenue]]=0,0,Table63[[#This Row],[Profit]]/Table63[[#This Row],[Total Revenue]])</f>
        <v>-0.29948031656533386</v>
      </c>
      <c r="N120" s="28" t="str">
        <f>YEAR(Table63[[#This Row],[Order Date]])&amp;"-"&amp;TEXT(Table63[[#This Row],[Order Date]],"mm")</f>
        <v>2023-04</v>
      </c>
      <c r="O120" s="22">
        <f>IF(Table63[[#This Row],[Unit sold Filled]]=0,0,Table63[[#This Row],[Total Revenue]]/Table63[[#This Row],[Unit sold Filled]])</f>
        <v>294.41000000000003</v>
      </c>
    </row>
    <row r="121" spans="1:15" ht="15" thickBot="1" x14ac:dyDescent="0.35">
      <c r="A121" s="1" t="s">
        <v>148</v>
      </c>
      <c r="B121" s="3" t="s">
        <v>22</v>
      </c>
      <c r="C121" s="1" t="s">
        <v>18</v>
      </c>
      <c r="D121" t="s">
        <v>13</v>
      </c>
      <c r="E121" s="1" t="s">
        <v>24</v>
      </c>
      <c r="F121" s="1" t="s">
        <v>28</v>
      </c>
      <c r="G121" s="2">
        <v>45046</v>
      </c>
      <c r="H121" s="24">
        <v>69</v>
      </c>
      <c r="I121" s="23">
        <v>345.66</v>
      </c>
      <c r="J121" s="3">
        <v>54.99</v>
      </c>
      <c r="K121">
        <v>23850.54</v>
      </c>
      <c r="L121" s="22">
        <f>(Table63[[#This Row],[Unit sold Filled]]*Table63[[#This Row],[Unit Price Filled]])-(Table63[[#This Row],[Unit sold Filled]]*Table63[[#This Row],[Unit Cost]])</f>
        <v>20056.23</v>
      </c>
      <c r="M121" s="27">
        <f>IF(Table63[[#This Row],[Total Revenue]]=0,0,Table63[[#This Row],[Profit]]/Table63[[#This Row],[Total Revenue]])</f>
        <v>0.84091303593126188</v>
      </c>
      <c r="N121" s="28" t="str">
        <f>YEAR(Table63[[#This Row],[Order Date]])&amp;"-"&amp;TEXT(Table63[[#This Row],[Order Date]],"mm")</f>
        <v>2023-04</v>
      </c>
      <c r="O121" s="22">
        <f>IF(Table63[[#This Row],[Unit sold Filled]]=0,0,Table63[[#This Row],[Total Revenue]]/Table63[[#This Row],[Unit sold Filled]])</f>
        <v>345.66</v>
      </c>
    </row>
    <row r="122" spans="1:15" ht="15" thickBot="1" x14ac:dyDescent="0.35">
      <c r="A122" s="15" t="s">
        <v>149</v>
      </c>
      <c r="B122" s="17" t="s">
        <v>17</v>
      </c>
      <c r="C122" s="15" t="s">
        <v>12</v>
      </c>
      <c r="D122" t="s">
        <v>42</v>
      </c>
      <c r="E122" s="15" t="s">
        <v>24</v>
      </c>
      <c r="F122" s="15" t="s">
        <v>20</v>
      </c>
      <c r="G122" s="18">
        <v>45047</v>
      </c>
      <c r="H122" s="24">
        <v>344</v>
      </c>
      <c r="I122" s="23">
        <v>201.7</v>
      </c>
      <c r="J122" s="17">
        <v>42.66</v>
      </c>
      <c r="K122">
        <v>69384.800000000003</v>
      </c>
      <c r="L122" s="22">
        <f>(Table63[[#This Row],[Unit sold Filled]]*Table63[[#This Row],[Unit Price Filled]])-(Table63[[#This Row],[Unit sold Filled]]*Table63[[#This Row],[Unit Cost]])</f>
        <v>54709.760000000002</v>
      </c>
      <c r="M122" s="27">
        <f>IF(Table63[[#This Row],[Total Revenue]]=0,0,Table63[[#This Row],[Profit]]/Table63[[#This Row],[Total Revenue]])</f>
        <v>0.78849776896380763</v>
      </c>
      <c r="N122" s="28" t="str">
        <f>YEAR(Table63[[#This Row],[Order Date]])&amp;"-"&amp;TEXT(Table63[[#This Row],[Order Date]],"mm")</f>
        <v>2023-05</v>
      </c>
      <c r="O122" s="22">
        <f>IF(Table63[[#This Row],[Unit sold Filled]]=0,0,Table63[[#This Row],[Total Revenue]]/Table63[[#This Row],[Unit sold Filled]])</f>
        <v>201.70000000000002</v>
      </c>
    </row>
    <row r="123" spans="1:15" ht="15" thickBot="1" x14ac:dyDescent="0.35">
      <c r="A123" s="1" t="s">
        <v>150</v>
      </c>
      <c r="B123" s="3" t="s">
        <v>17</v>
      </c>
      <c r="C123" s="1" t="s">
        <v>50</v>
      </c>
      <c r="D123" t="s">
        <v>42</v>
      </c>
      <c r="E123" s="1" t="s">
        <v>14</v>
      </c>
      <c r="F123" s="1" t="s">
        <v>15</v>
      </c>
      <c r="G123" s="2">
        <v>45048</v>
      </c>
      <c r="H123" s="24">
        <v>231</v>
      </c>
      <c r="I123" s="23">
        <v>242.55</v>
      </c>
      <c r="J123" s="3">
        <v>264.16000000000003</v>
      </c>
      <c r="K123">
        <v>56029.05</v>
      </c>
      <c r="L123" s="22">
        <f>(Table63[[#This Row],[Unit sold Filled]]*Table63[[#This Row],[Unit Price Filled]])-(Table63[[#This Row],[Unit sold Filled]]*Table63[[#This Row],[Unit Cost]])</f>
        <v>-4991.9100000000035</v>
      </c>
      <c r="M123" s="27">
        <f>IF(Table63[[#This Row],[Total Revenue]]=0,0,Table63[[#This Row],[Profit]]/Table63[[#This Row],[Total Revenue]])</f>
        <v>-8.9095031952174872E-2</v>
      </c>
      <c r="N123" s="28" t="str">
        <f>YEAR(Table63[[#This Row],[Order Date]])&amp;"-"&amp;TEXT(Table63[[#This Row],[Order Date]],"mm")</f>
        <v>2023-05</v>
      </c>
      <c r="O123" s="22">
        <f>IF(Table63[[#This Row],[Unit sold Filled]]=0,0,Table63[[#This Row],[Total Revenue]]/Table63[[#This Row],[Unit sold Filled]])</f>
        <v>242.55</v>
      </c>
    </row>
    <row r="124" spans="1:15" ht="15" thickBot="1" x14ac:dyDescent="0.35">
      <c r="A124" s="15" t="s">
        <v>151</v>
      </c>
      <c r="B124" s="17" t="s">
        <v>48</v>
      </c>
      <c r="C124" s="15" t="s">
        <v>12</v>
      </c>
      <c r="D124" t="s">
        <v>23</v>
      </c>
      <c r="E124" s="15" t="s">
        <v>14</v>
      </c>
      <c r="F124" s="15" t="s">
        <v>20</v>
      </c>
      <c r="G124" s="18">
        <v>45049</v>
      </c>
      <c r="H124" s="24">
        <v>46</v>
      </c>
      <c r="I124" s="23">
        <v>344.55</v>
      </c>
      <c r="J124" s="17">
        <v>377.25</v>
      </c>
      <c r="K124">
        <v>15849.300000000001</v>
      </c>
      <c r="L124" s="22">
        <f>(Table63[[#This Row],[Unit sold Filled]]*Table63[[#This Row],[Unit Price Filled]])-(Table63[[#This Row],[Unit sold Filled]]*Table63[[#This Row],[Unit Cost]])</f>
        <v>-1504.1999999999989</v>
      </c>
      <c r="M124" s="27">
        <f>IF(Table63[[#This Row],[Total Revenue]]=0,0,Table63[[#This Row],[Profit]]/Table63[[#This Row],[Total Revenue]])</f>
        <v>-9.4906399651719556E-2</v>
      </c>
      <c r="N124" s="28" t="str">
        <f>YEAR(Table63[[#This Row],[Order Date]])&amp;"-"&amp;TEXT(Table63[[#This Row],[Order Date]],"mm")</f>
        <v>2023-05</v>
      </c>
      <c r="O124" s="22">
        <f>IF(Table63[[#This Row],[Unit sold Filled]]=0,0,Table63[[#This Row],[Total Revenue]]/Table63[[#This Row],[Unit sold Filled]])</f>
        <v>344.55</v>
      </c>
    </row>
    <row r="125" spans="1:15" ht="15" thickBot="1" x14ac:dyDescent="0.35">
      <c r="A125" s="1" t="s">
        <v>152</v>
      </c>
      <c r="B125" s="3" t="s">
        <v>11</v>
      </c>
      <c r="C125" s="1" t="s">
        <v>18</v>
      </c>
      <c r="D125" t="s">
        <v>13</v>
      </c>
      <c r="E125" s="1" t="s">
        <v>24</v>
      </c>
      <c r="F125" s="1" t="s">
        <v>28</v>
      </c>
      <c r="G125" s="2">
        <v>45050</v>
      </c>
      <c r="H125" s="24">
        <v>486</v>
      </c>
      <c r="I125" s="23">
        <v>13.6</v>
      </c>
      <c r="J125" s="3">
        <v>323.94</v>
      </c>
      <c r="K125">
        <v>6609.5999999999995</v>
      </c>
      <c r="L125" s="22">
        <f>(Table63[[#This Row],[Unit sold Filled]]*Table63[[#This Row],[Unit Price Filled]])-(Table63[[#This Row],[Unit sold Filled]]*Table63[[#This Row],[Unit Cost]])</f>
        <v>-150825.24</v>
      </c>
      <c r="M125" s="27">
        <f>IF(Table63[[#This Row],[Total Revenue]]=0,0,Table63[[#This Row],[Profit]]/Table63[[#This Row],[Total Revenue]])</f>
        <v>-22.819117647058825</v>
      </c>
      <c r="N125" s="28" t="str">
        <f>YEAR(Table63[[#This Row],[Order Date]])&amp;"-"&amp;TEXT(Table63[[#This Row],[Order Date]],"mm")</f>
        <v>2023-05</v>
      </c>
      <c r="O125" s="22">
        <f>IF(Table63[[#This Row],[Unit sold Filled]]=0,0,Table63[[#This Row],[Total Revenue]]/Table63[[#This Row],[Unit sold Filled]])</f>
        <v>13.6</v>
      </c>
    </row>
    <row r="126" spans="1:15" ht="15" thickBot="1" x14ac:dyDescent="0.35">
      <c r="A126" s="15" t="s">
        <v>153</v>
      </c>
      <c r="B126" s="17" t="s">
        <v>22</v>
      </c>
      <c r="C126" s="15" t="s">
        <v>12</v>
      </c>
      <c r="D126" t="s">
        <v>13</v>
      </c>
      <c r="E126" s="15" t="s">
        <v>24</v>
      </c>
      <c r="F126" s="15" t="s">
        <v>15</v>
      </c>
      <c r="G126" s="18">
        <v>45051</v>
      </c>
      <c r="H126" s="24">
        <v>287</v>
      </c>
      <c r="I126" s="23">
        <v>164.95</v>
      </c>
      <c r="J126" s="17">
        <v>32.409999999999997</v>
      </c>
      <c r="K126">
        <v>47340.649999999994</v>
      </c>
      <c r="L126" s="22">
        <f>(Table63[[#This Row],[Unit sold Filled]]*Table63[[#This Row],[Unit Price Filled]])-(Table63[[#This Row],[Unit sold Filled]]*Table63[[#This Row],[Unit Cost]])</f>
        <v>38038.979999999996</v>
      </c>
      <c r="M126" s="27">
        <f>IF(Table63[[#This Row],[Total Revenue]]=0,0,Table63[[#This Row],[Profit]]/Table63[[#This Row],[Total Revenue]])</f>
        <v>0.80351621703546527</v>
      </c>
      <c r="N126" s="28" t="str">
        <f>YEAR(Table63[[#This Row],[Order Date]])&amp;"-"&amp;TEXT(Table63[[#This Row],[Order Date]],"mm")</f>
        <v>2023-05</v>
      </c>
      <c r="O126" s="22">
        <f>IF(Table63[[#This Row],[Unit sold Filled]]=0,0,Table63[[#This Row],[Total Revenue]]/Table63[[#This Row],[Unit sold Filled]])</f>
        <v>164.95</v>
      </c>
    </row>
    <row r="127" spans="1:15" ht="15" thickBot="1" x14ac:dyDescent="0.35">
      <c r="A127" s="1" t="s">
        <v>154</v>
      </c>
      <c r="B127" s="3" t="s">
        <v>17</v>
      </c>
      <c r="C127" s="1" t="s">
        <v>31</v>
      </c>
      <c r="D127" t="s">
        <v>19</v>
      </c>
      <c r="E127" s="1" t="s">
        <v>14</v>
      </c>
      <c r="F127" s="1" t="s">
        <v>28</v>
      </c>
      <c r="G127" s="2">
        <v>45052</v>
      </c>
      <c r="H127" s="24">
        <v>205</v>
      </c>
      <c r="I127" s="23">
        <v>486.68</v>
      </c>
      <c r="J127" s="3">
        <v>113.19</v>
      </c>
      <c r="K127">
        <v>99769.4</v>
      </c>
      <c r="L127" s="22">
        <f>(Table63[[#This Row],[Unit sold Filled]]*Table63[[#This Row],[Unit Price Filled]])-(Table63[[#This Row],[Unit sold Filled]]*Table63[[#This Row],[Unit Cost]])</f>
        <v>76565.45</v>
      </c>
      <c r="M127" s="27">
        <f>IF(Table63[[#This Row],[Total Revenue]]=0,0,Table63[[#This Row],[Profit]]/Table63[[#This Row],[Total Revenue]])</f>
        <v>0.76742418015944769</v>
      </c>
      <c r="N127" s="28" t="str">
        <f>YEAR(Table63[[#This Row],[Order Date]])&amp;"-"&amp;TEXT(Table63[[#This Row],[Order Date]],"mm")</f>
        <v>2023-05</v>
      </c>
      <c r="O127" s="22">
        <f>IF(Table63[[#This Row],[Unit sold Filled]]=0,0,Table63[[#This Row],[Total Revenue]]/Table63[[#This Row],[Unit sold Filled]])</f>
        <v>486.67999999999995</v>
      </c>
    </row>
    <row r="128" spans="1:15" ht="15" thickBot="1" x14ac:dyDescent="0.35">
      <c r="A128" s="15" t="s">
        <v>155</v>
      </c>
      <c r="B128" s="17" t="s">
        <v>48</v>
      </c>
      <c r="C128" s="15" t="s">
        <v>12</v>
      </c>
      <c r="D128" t="s">
        <v>42</v>
      </c>
      <c r="E128" s="15" t="s">
        <v>24</v>
      </c>
      <c r="F128" s="15" t="s">
        <v>28</v>
      </c>
      <c r="G128" s="18">
        <v>45053</v>
      </c>
      <c r="H128" s="24">
        <v>413</v>
      </c>
      <c r="I128" s="23">
        <v>292.16000000000003</v>
      </c>
      <c r="J128" s="17">
        <v>372.27</v>
      </c>
      <c r="K128">
        <v>120662.08000000002</v>
      </c>
      <c r="L128" s="22">
        <f>(Table63[[#This Row],[Unit sold Filled]]*Table63[[#This Row],[Unit Price Filled]])-(Table63[[#This Row],[Unit sold Filled]]*Table63[[#This Row],[Unit Cost]])</f>
        <v>-33085.429999999964</v>
      </c>
      <c r="M128" s="27">
        <f>IF(Table63[[#This Row],[Total Revenue]]=0,0,Table63[[#This Row],[Profit]]/Table63[[#This Row],[Total Revenue]])</f>
        <v>-0.27419906900328556</v>
      </c>
      <c r="N128" s="28" t="str">
        <f>YEAR(Table63[[#This Row],[Order Date]])&amp;"-"&amp;TEXT(Table63[[#This Row],[Order Date]],"mm")</f>
        <v>2023-05</v>
      </c>
      <c r="O128" s="22">
        <f>IF(Table63[[#This Row],[Unit sold Filled]]=0,0,Table63[[#This Row],[Total Revenue]]/Table63[[#This Row],[Unit sold Filled]])</f>
        <v>292.16000000000003</v>
      </c>
    </row>
    <row r="129" spans="1:15" ht="15" thickBot="1" x14ac:dyDescent="0.35">
      <c r="A129" s="1" t="s">
        <v>156</v>
      </c>
      <c r="B129" s="3" t="s">
        <v>22</v>
      </c>
      <c r="C129" s="1" t="s">
        <v>26</v>
      </c>
      <c r="D129" t="s">
        <v>42</v>
      </c>
      <c r="E129" s="1" t="s">
        <v>24</v>
      </c>
      <c r="F129" s="1" t="s">
        <v>15</v>
      </c>
      <c r="G129" s="2">
        <v>45054</v>
      </c>
      <c r="H129" s="24">
        <v>361</v>
      </c>
      <c r="I129" s="23">
        <v>130.84</v>
      </c>
      <c r="J129" s="3">
        <v>102.72</v>
      </c>
      <c r="K129">
        <v>47233.24</v>
      </c>
      <c r="L129" s="22">
        <f>(Table63[[#This Row],[Unit sold Filled]]*Table63[[#This Row],[Unit Price Filled]])-(Table63[[#This Row],[Unit sold Filled]]*Table63[[#This Row],[Unit Cost]])</f>
        <v>10151.32</v>
      </c>
      <c r="M129" s="27">
        <f>IF(Table63[[#This Row],[Total Revenue]]=0,0,Table63[[#This Row],[Profit]]/Table63[[#This Row],[Total Revenue]])</f>
        <v>0.21491898501987161</v>
      </c>
      <c r="N129" s="28" t="str">
        <f>YEAR(Table63[[#This Row],[Order Date]])&amp;"-"&amp;TEXT(Table63[[#This Row],[Order Date]],"mm")</f>
        <v>2023-05</v>
      </c>
      <c r="O129" s="22">
        <f>IF(Table63[[#This Row],[Unit sold Filled]]=0,0,Table63[[#This Row],[Total Revenue]]/Table63[[#This Row],[Unit sold Filled]])</f>
        <v>130.84</v>
      </c>
    </row>
    <row r="130" spans="1:15" ht="15" thickBot="1" x14ac:dyDescent="0.35">
      <c r="A130" s="15" t="s">
        <v>157</v>
      </c>
      <c r="B130" s="17" t="s">
        <v>17</v>
      </c>
      <c r="C130" s="15" t="s">
        <v>26</v>
      </c>
      <c r="D130" t="s">
        <v>27</v>
      </c>
      <c r="E130" s="15" t="s">
        <v>14</v>
      </c>
      <c r="F130" s="15" t="s">
        <v>15</v>
      </c>
      <c r="G130" s="18">
        <v>45055</v>
      </c>
      <c r="H130" s="24">
        <v>493</v>
      </c>
      <c r="I130" s="23">
        <v>263.26</v>
      </c>
      <c r="J130" s="17">
        <v>312.91000000000003</v>
      </c>
      <c r="K130">
        <v>129787.18</v>
      </c>
      <c r="L130" s="22">
        <f>(Table63[[#This Row],[Unit sold Filled]]*Table63[[#This Row],[Unit Price Filled]])-(Table63[[#This Row],[Unit sold Filled]]*Table63[[#This Row],[Unit Cost]])</f>
        <v>-24477.450000000012</v>
      </c>
      <c r="M130" s="27">
        <f>IF(Table63[[#This Row],[Total Revenue]]=0,0,Table63[[#This Row],[Profit]]/Table63[[#This Row],[Total Revenue]])</f>
        <v>-0.18859682443212045</v>
      </c>
      <c r="N130" s="28" t="str">
        <f>YEAR(Table63[[#This Row],[Order Date]])&amp;"-"&amp;TEXT(Table63[[#This Row],[Order Date]],"mm")</f>
        <v>2023-05</v>
      </c>
      <c r="O130" s="22">
        <f>IF(Table63[[#This Row],[Unit sold Filled]]=0,0,Table63[[#This Row],[Total Revenue]]/Table63[[#This Row],[Unit sold Filled]])</f>
        <v>263.26</v>
      </c>
    </row>
    <row r="131" spans="1:15" ht="15" thickBot="1" x14ac:dyDescent="0.35">
      <c r="A131" s="1" t="s">
        <v>158</v>
      </c>
      <c r="B131" s="3" t="s">
        <v>17</v>
      </c>
      <c r="C131" s="1" t="s">
        <v>31</v>
      </c>
      <c r="D131" t="s">
        <v>19</v>
      </c>
      <c r="E131" s="1" t="s">
        <v>24</v>
      </c>
      <c r="F131" s="1" t="s">
        <v>15</v>
      </c>
      <c r="G131" s="2">
        <v>45056</v>
      </c>
      <c r="H131" s="24">
        <v>251</v>
      </c>
      <c r="I131" s="23">
        <v>174.61</v>
      </c>
      <c r="J131" s="3">
        <v>330.4</v>
      </c>
      <c r="K131">
        <v>43827.11</v>
      </c>
      <c r="L131" s="22">
        <f>(Table63[[#This Row],[Unit sold Filled]]*Table63[[#This Row],[Unit Price Filled]])-(Table63[[#This Row],[Unit sold Filled]]*Table63[[#This Row],[Unit Cost]])</f>
        <v>-39103.289999999994</v>
      </c>
      <c r="M131" s="27">
        <f>IF(Table63[[#This Row],[Total Revenue]]=0,0,Table63[[#This Row],[Profit]]/Table63[[#This Row],[Total Revenue]])</f>
        <v>-0.89221694061050327</v>
      </c>
      <c r="N131" s="28" t="str">
        <f>YEAR(Table63[[#This Row],[Order Date]])&amp;"-"&amp;TEXT(Table63[[#This Row],[Order Date]],"mm")</f>
        <v>2023-05</v>
      </c>
      <c r="O131" s="22">
        <f>IF(Table63[[#This Row],[Unit sold Filled]]=0,0,Table63[[#This Row],[Total Revenue]]/Table63[[#This Row],[Unit sold Filled]])</f>
        <v>174.61</v>
      </c>
    </row>
    <row r="132" spans="1:15" ht="15" thickBot="1" x14ac:dyDescent="0.35">
      <c r="A132" s="15" t="s">
        <v>159</v>
      </c>
      <c r="B132" s="17" t="s">
        <v>17</v>
      </c>
      <c r="C132" s="15" t="s">
        <v>18</v>
      </c>
      <c r="D132" t="s">
        <v>27</v>
      </c>
      <c r="E132" s="15" t="s">
        <v>24</v>
      </c>
      <c r="F132" s="15" t="s">
        <v>15</v>
      </c>
      <c r="G132" s="18">
        <v>45057</v>
      </c>
      <c r="H132" s="24">
        <v>255.90294117647059</v>
      </c>
      <c r="I132" s="23">
        <v>268.45999999999998</v>
      </c>
      <c r="J132" s="17">
        <v>199.19</v>
      </c>
      <c r="K132">
        <v>68699.703588235294</v>
      </c>
      <c r="L132" s="22">
        <f>(Table63[[#This Row],[Unit sold Filled]]*Table63[[#This Row],[Unit Price Filled]])-(Table63[[#This Row],[Unit sold Filled]]*Table63[[#This Row],[Unit Cost]])</f>
        <v>17726.396735294118</v>
      </c>
      <c r="M132" s="27">
        <f>IF(Table63[[#This Row],[Total Revenue]]=0,0,Table63[[#This Row],[Profit]]/Table63[[#This Row],[Total Revenue]])</f>
        <v>0.25802726663190045</v>
      </c>
      <c r="N132" s="28" t="str">
        <f>YEAR(Table63[[#This Row],[Order Date]])&amp;"-"&amp;TEXT(Table63[[#This Row],[Order Date]],"mm")</f>
        <v>2023-05</v>
      </c>
      <c r="O132" s="22">
        <f>IF(Table63[[#This Row],[Unit sold Filled]]=0,0,Table63[[#This Row],[Total Revenue]]/Table63[[#This Row],[Unit sold Filled]])</f>
        <v>268.45999999999998</v>
      </c>
    </row>
    <row r="133" spans="1:15" ht="15" thickBot="1" x14ac:dyDescent="0.35">
      <c r="A133" s="1" t="s">
        <v>160</v>
      </c>
      <c r="B133" s="3" t="s">
        <v>22</v>
      </c>
      <c r="C133" s="1" t="s">
        <v>26</v>
      </c>
      <c r="D133" t="s">
        <v>27</v>
      </c>
      <c r="E133" s="1" t="s">
        <v>24</v>
      </c>
      <c r="F133" s="1" t="s">
        <v>15</v>
      </c>
      <c r="G133" s="2">
        <v>45058</v>
      </c>
      <c r="H133" s="24">
        <v>228</v>
      </c>
      <c r="I133" s="23">
        <v>67.239999999999995</v>
      </c>
      <c r="J133" s="3">
        <v>155.77000000000001</v>
      </c>
      <c r="K133">
        <v>15330.72</v>
      </c>
      <c r="L133" s="22">
        <f>(Table63[[#This Row],[Unit sold Filled]]*Table63[[#This Row],[Unit Price Filled]])-(Table63[[#This Row],[Unit sold Filled]]*Table63[[#This Row],[Unit Cost]])</f>
        <v>-20184.840000000004</v>
      </c>
      <c r="M133" s="27">
        <f>IF(Table63[[#This Row],[Total Revenue]]=0,0,Table63[[#This Row],[Profit]]/Table63[[#This Row],[Total Revenue]])</f>
        <v>-1.3166270077334923</v>
      </c>
      <c r="N133" s="28" t="str">
        <f>YEAR(Table63[[#This Row],[Order Date]])&amp;"-"&amp;TEXT(Table63[[#This Row],[Order Date]],"mm")</f>
        <v>2023-05</v>
      </c>
      <c r="O133" s="22">
        <f>IF(Table63[[#This Row],[Unit sold Filled]]=0,0,Table63[[#This Row],[Total Revenue]]/Table63[[#This Row],[Unit sold Filled]])</f>
        <v>67.239999999999995</v>
      </c>
    </row>
    <row r="134" spans="1:15" ht="15" thickBot="1" x14ac:dyDescent="0.35">
      <c r="A134" s="15" t="s">
        <v>161</v>
      </c>
      <c r="B134" s="17" t="s">
        <v>22</v>
      </c>
      <c r="C134" s="15" t="s">
        <v>50</v>
      </c>
      <c r="D134" t="s">
        <v>27</v>
      </c>
      <c r="E134" s="15" t="s">
        <v>14</v>
      </c>
      <c r="F134" s="15" t="s">
        <v>15</v>
      </c>
      <c r="G134" s="18">
        <v>45059</v>
      </c>
      <c r="H134" s="24">
        <v>201</v>
      </c>
      <c r="I134" s="23">
        <v>70.69</v>
      </c>
      <c r="J134" s="17">
        <v>181.15</v>
      </c>
      <c r="K134">
        <v>14208.689999999999</v>
      </c>
      <c r="L134" s="22">
        <f>(Table63[[#This Row],[Unit sold Filled]]*Table63[[#This Row],[Unit Price Filled]])-(Table63[[#This Row],[Unit sold Filled]]*Table63[[#This Row],[Unit Cost]])</f>
        <v>-22202.460000000003</v>
      </c>
      <c r="M134" s="27">
        <f>IF(Table63[[#This Row],[Total Revenue]]=0,0,Table63[[#This Row],[Profit]]/Table63[[#This Row],[Total Revenue]])</f>
        <v>-1.5625972556231436</v>
      </c>
      <c r="N134" s="28" t="str">
        <f>YEAR(Table63[[#This Row],[Order Date]])&amp;"-"&amp;TEXT(Table63[[#This Row],[Order Date]],"mm")</f>
        <v>2023-05</v>
      </c>
      <c r="O134" s="22">
        <f>IF(Table63[[#This Row],[Unit sold Filled]]=0,0,Table63[[#This Row],[Total Revenue]]/Table63[[#This Row],[Unit sold Filled]])</f>
        <v>70.69</v>
      </c>
    </row>
    <row r="135" spans="1:15" ht="15" thickBot="1" x14ac:dyDescent="0.35">
      <c r="A135" s="1" t="s">
        <v>162</v>
      </c>
      <c r="B135" s="3" t="s">
        <v>22</v>
      </c>
      <c r="C135" s="1" t="s">
        <v>26</v>
      </c>
      <c r="D135" t="s">
        <v>23</v>
      </c>
      <c r="E135" s="1" t="s">
        <v>14</v>
      </c>
      <c r="F135" s="1" t="s">
        <v>15</v>
      </c>
      <c r="G135" s="2">
        <v>45060</v>
      </c>
      <c r="H135" s="24">
        <v>26</v>
      </c>
      <c r="I135" s="23">
        <v>76.05</v>
      </c>
      <c r="J135" s="3">
        <v>92.33</v>
      </c>
      <c r="K135">
        <v>1977.3</v>
      </c>
      <c r="L135" s="22">
        <f>(Table63[[#This Row],[Unit sold Filled]]*Table63[[#This Row],[Unit Price Filled]])-(Table63[[#This Row],[Unit sold Filled]]*Table63[[#This Row],[Unit Cost]])</f>
        <v>-423.28</v>
      </c>
      <c r="M135" s="27">
        <f>IF(Table63[[#This Row],[Total Revenue]]=0,0,Table63[[#This Row],[Profit]]/Table63[[#This Row],[Total Revenue]])</f>
        <v>-0.2140696909927679</v>
      </c>
      <c r="N135" s="28" t="str">
        <f>YEAR(Table63[[#This Row],[Order Date]])&amp;"-"&amp;TEXT(Table63[[#This Row],[Order Date]],"mm")</f>
        <v>2023-05</v>
      </c>
      <c r="O135" s="22">
        <f>IF(Table63[[#This Row],[Unit sold Filled]]=0,0,Table63[[#This Row],[Total Revenue]]/Table63[[#This Row],[Unit sold Filled]])</f>
        <v>76.05</v>
      </c>
    </row>
    <row r="136" spans="1:15" ht="15" thickBot="1" x14ac:dyDescent="0.35">
      <c r="A136" s="15" t="s">
        <v>163</v>
      </c>
      <c r="B136" s="17" t="s">
        <v>11</v>
      </c>
      <c r="C136" s="15" t="s">
        <v>26</v>
      </c>
      <c r="D136" t="s">
        <v>23</v>
      </c>
      <c r="E136" s="15" t="s">
        <v>14</v>
      </c>
      <c r="F136" s="15" t="s">
        <v>20</v>
      </c>
      <c r="G136" s="18">
        <v>45061</v>
      </c>
      <c r="H136" s="24">
        <v>21</v>
      </c>
      <c r="I136" s="23">
        <v>470.21</v>
      </c>
      <c r="J136" s="17">
        <v>355.98</v>
      </c>
      <c r="K136">
        <v>9874.41</v>
      </c>
      <c r="L136" s="22">
        <f>(Table63[[#This Row],[Unit sold Filled]]*Table63[[#This Row],[Unit Price Filled]])-(Table63[[#This Row],[Unit sold Filled]]*Table63[[#This Row],[Unit Cost]])</f>
        <v>2398.83</v>
      </c>
      <c r="M136" s="27">
        <f>IF(Table63[[#This Row],[Total Revenue]]=0,0,Table63[[#This Row],[Profit]]/Table63[[#This Row],[Total Revenue]])</f>
        <v>0.24293400820909805</v>
      </c>
      <c r="N136" s="28" t="str">
        <f>YEAR(Table63[[#This Row],[Order Date]])&amp;"-"&amp;TEXT(Table63[[#This Row],[Order Date]],"mm")</f>
        <v>2023-05</v>
      </c>
      <c r="O136" s="22">
        <f>IF(Table63[[#This Row],[Unit sold Filled]]=0,0,Table63[[#This Row],[Total Revenue]]/Table63[[#This Row],[Unit sold Filled]])</f>
        <v>470.21</v>
      </c>
    </row>
    <row r="137" spans="1:15" ht="15" thickBot="1" x14ac:dyDescent="0.35">
      <c r="A137" s="1" t="s">
        <v>164</v>
      </c>
      <c r="B137" s="3" t="s">
        <v>22</v>
      </c>
      <c r="C137" s="1" t="s">
        <v>18</v>
      </c>
      <c r="D137" t="s">
        <v>27</v>
      </c>
      <c r="E137" s="1" t="s">
        <v>24</v>
      </c>
      <c r="F137" s="1" t="s">
        <v>28</v>
      </c>
      <c r="G137" s="2">
        <v>45062</v>
      </c>
      <c r="H137" s="24">
        <v>415</v>
      </c>
      <c r="I137" s="23">
        <v>367.78</v>
      </c>
      <c r="J137" s="3">
        <v>181.35</v>
      </c>
      <c r="K137">
        <v>152628.69999999998</v>
      </c>
      <c r="L137" s="22">
        <f>(Table63[[#This Row],[Unit sold Filled]]*Table63[[#This Row],[Unit Price Filled]])-(Table63[[#This Row],[Unit sold Filled]]*Table63[[#This Row],[Unit Cost]])</f>
        <v>77368.449999999983</v>
      </c>
      <c r="M137" s="27">
        <f>IF(Table63[[#This Row],[Total Revenue]]=0,0,Table63[[#This Row],[Profit]]/Table63[[#This Row],[Total Revenue]])</f>
        <v>0.50690630268095049</v>
      </c>
      <c r="N137" s="28" t="str">
        <f>YEAR(Table63[[#This Row],[Order Date]])&amp;"-"&amp;TEXT(Table63[[#This Row],[Order Date]],"mm")</f>
        <v>2023-05</v>
      </c>
      <c r="O137" s="22">
        <f>IF(Table63[[#This Row],[Unit sold Filled]]=0,0,Table63[[#This Row],[Total Revenue]]/Table63[[#This Row],[Unit sold Filled]])</f>
        <v>367.78</v>
      </c>
    </row>
    <row r="138" spans="1:15" ht="15" thickBot="1" x14ac:dyDescent="0.35">
      <c r="A138" s="15" t="s">
        <v>165</v>
      </c>
      <c r="B138" s="17" t="s">
        <v>22</v>
      </c>
      <c r="C138" s="15" t="s">
        <v>12</v>
      </c>
      <c r="D138" t="s">
        <v>19</v>
      </c>
      <c r="E138" s="15" t="s">
        <v>24</v>
      </c>
      <c r="F138" s="15" t="s">
        <v>15</v>
      </c>
      <c r="G138" s="18">
        <v>45063</v>
      </c>
      <c r="H138" s="24">
        <v>410</v>
      </c>
      <c r="I138" s="23">
        <v>85.38</v>
      </c>
      <c r="J138" s="17">
        <v>353.22</v>
      </c>
      <c r="K138">
        <v>35005.799999999996</v>
      </c>
      <c r="L138" s="22">
        <f>(Table63[[#This Row],[Unit sold Filled]]*Table63[[#This Row],[Unit Price Filled]])-(Table63[[#This Row],[Unit sold Filled]]*Table63[[#This Row],[Unit Cost]])</f>
        <v>-109814.40000000002</v>
      </c>
      <c r="M138" s="27">
        <f>IF(Table63[[#This Row],[Total Revenue]]=0,0,Table63[[#This Row],[Profit]]/Table63[[#This Row],[Total Revenue]])</f>
        <v>-3.1370344342937466</v>
      </c>
      <c r="N138" s="28" t="str">
        <f>YEAR(Table63[[#This Row],[Order Date]])&amp;"-"&amp;TEXT(Table63[[#This Row],[Order Date]],"mm")</f>
        <v>2023-05</v>
      </c>
      <c r="O138" s="22">
        <f>IF(Table63[[#This Row],[Unit sold Filled]]=0,0,Table63[[#This Row],[Total Revenue]]/Table63[[#This Row],[Unit sold Filled]])</f>
        <v>85.38</v>
      </c>
    </row>
    <row r="139" spans="1:15" ht="15" thickBot="1" x14ac:dyDescent="0.35">
      <c r="A139" s="1" t="s">
        <v>166</v>
      </c>
      <c r="B139" s="3" t="s">
        <v>22</v>
      </c>
      <c r="C139" s="1" t="s">
        <v>26</v>
      </c>
      <c r="D139" t="s">
        <v>42</v>
      </c>
      <c r="E139" s="1" t="s">
        <v>14</v>
      </c>
      <c r="F139" s="1" t="s">
        <v>20</v>
      </c>
      <c r="G139" s="2">
        <v>45064</v>
      </c>
      <c r="H139" s="24">
        <v>403</v>
      </c>
      <c r="I139" s="23">
        <v>98.23</v>
      </c>
      <c r="J139" s="3">
        <v>44.07</v>
      </c>
      <c r="K139">
        <v>39586.69</v>
      </c>
      <c r="L139" s="22">
        <f>(Table63[[#This Row],[Unit sold Filled]]*Table63[[#This Row],[Unit Price Filled]])-(Table63[[#This Row],[Unit sold Filled]]*Table63[[#This Row],[Unit Cost]])</f>
        <v>21826.480000000003</v>
      </c>
      <c r="M139" s="27">
        <f>IF(Table63[[#This Row],[Total Revenue]]=0,0,Table63[[#This Row],[Profit]]/Table63[[#This Row],[Total Revenue]])</f>
        <v>0.55135905527842821</v>
      </c>
      <c r="N139" s="28" t="str">
        <f>YEAR(Table63[[#This Row],[Order Date]])&amp;"-"&amp;TEXT(Table63[[#This Row],[Order Date]],"mm")</f>
        <v>2023-05</v>
      </c>
      <c r="O139" s="22">
        <f>IF(Table63[[#This Row],[Unit sold Filled]]=0,0,Table63[[#This Row],[Total Revenue]]/Table63[[#This Row],[Unit sold Filled]])</f>
        <v>98.23</v>
      </c>
    </row>
    <row r="140" spans="1:15" ht="15" thickBot="1" x14ac:dyDescent="0.35">
      <c r="A140" s="15" t="s">
        <v>167</v>
      </c>
      <c r="B140" s="17" t="s">
        <v>11</v>
      </c>
      <c r="C140" s="15" t="s">
        <v>31</v>
      </c>
      <c r="D140" t="s">
        <v>19</v>
      </c>
      <c r="E140" s="15" t="s">
        <v>24</v>
      </c>
      <c r="F140" s="15" t="s">
        <v>20</v>
      </c>
      <c r="G140" s="18">
        <v>45065</v>
      </c>
      <c r="H140" s="24">
        <v>383</v>
      </c>
      <c r="I140" s="23">
        <v>366.76</v>
      </c>
      <c r="J140" s="17">
        <v>395.33</v>
      </c>
      <c r="K140">
        <v>140469.07999999999</v>
      </c>
      <c r="L140" s="22">
        <f>(Table63[[#This Row],[Unit sold Filled]]*Table63[[#This Row],[Unit Price Filled]])-(Table63[[#This Row],[Unit sold Filled]]*Table63[[#This Row],[Unit Cost]])</f>
        <v>-10942.309999999998</v>
      </c>
      <c r="M140" s="27">
        <f>IF(Table63[[#This Row],[Total Revenue]]=0,0,Table63[[#This Row],[Profit]]/Table63[[#This Row],[Total Revenue]])</f>
        <v>-7.7898353146471797E-2</v>
      </c>
      <c r="N140" s="28" t="str">
        <f>YEAR(Table63[[#This Row],[Order Date]])&amp;"-"&amp;TEXT(Table63[[#This Row],[Order Date]],"mm")</f>
        <v>2023-05</v>
      </c>
      <c r="O140" s="22">
        <f>IF(Table63[[#This Row],[Unit sold Filled]]=0,0,Table63[[#This Row],[Total Revenue]]/Table63[[#This Row],[Unit sold Filled]])</f>
        <v>366.76</v>
      </c>
    </row>
    <row r="141" spans="1:15" ht="15" thickBot="1" x14ac:dyDescent="0.35">
      <c r="A141" s="1" t="s">
        <v>168</v>
      </c>
      <c r="B141" s="3" t="s">
        <v>22</v>
      </c>
      <c r="C141" s="1" t="s">
        <v>12</v>
      </c>
      <c r="D141" t="s">
        <v>13</v>
      </c>
      <c r="E141" s="1" t="s">
        <v>24</v>
      </c>
      <c r="F141" s="1" t="s">
        <v>20</v>
      </c>
      <c r="G141" s="2">
        <v>45066</v>
      </c>
      <c r="H141" s="24">
        <v>202</v>
      </c>
      <c r="I141" s="23">
        <v>82.3</v>
      </c>
      <c r="J141" s="3">
        <v>178.42</v>
      </c>
      <c r="K141">
        <v>16624.599999999999</v>
      </c>
      <c r="L141" s="22">
        <f>(Table63[[#This Row],[Unit sold Filled]]*Table63[[#This Row],[Unit Price Filled]])-(Table63[[#This Row],[Unit sold Filled]]*Table63[[#This Row],[Unit Cost]])</f>
        <v>-19416.239999999998</v>
      </c>
      <c r="M141" s="27">
        <f>IF(Table63[[#This Row],[Total Revenue]]=0,0,Table63[[#This Row],[Profit]]/Table63[[#This Row],[Total Revenue]])</f>
        <v>-1.1679222357229648</v>
      </c>
      <c r="N141" s="28" t="str">
        <f>YEAR(Table63[[#This Row],[Order Date]])&amp;"-"&amp;TEXT(Table63[[#This Row],[Order Date]],"mm")</f>
        <v>2023-05</v>
      </c>
      <c r="O141" s="22">
        <f>IF(Table63[[#This Row],[Unit sold Filled]]=0,0,Table63[[#This Row],[Total Revenue]]/Table63[[#This Row],[Unit sold Filled]])</f>
        <v>82.3</v>
      </c>
    </row>
    <row r="142" spans="1:15" ht="15" thickBot="1" x14ac:dyDescent="0.35">
      <c r="A142" s="15" t="s">
        <v>169</v>
      </c>
      <c r="B142" s="17" t="s">
        <v>17</v>
      </c>
      <c r="C142" s="15" t="s">
        <v>50</v>
      </c>
      <c r="D142" t="s">
        <v>23</v>
      </c>
      <c r="E142" s="15" t="s">
        <v>24</v>
      </c>
      <c r="F142" s="15" t="s">
        <v>28</v>
      </c>
      <c r="G142" s="18">
        <v>45067</v>
      </c>
      <c r="H142" s="24">
        <v>31</v>
      </c>
      <c r="I142" s="23">
        <v>121.11</v>
      </c>
      <c r="J142" s="17">
        <v>21.04</v>
      </c>
      <c r="K142">
        <v>3754.41</v>
      </c>
      <c r="L142" s="22">
        <f>(Table63[[#This Row],[Unit sold Filled]]*Table63[[#This Row],[Unit Price Filled]])-(Table63[[#This Row],[Unit sold Filled]]*Table63[[#This Row],[Unit Cost]])</f>
        <v>3102.17</v>
      </c>
      <c r="M142" s="27">
        <f>IF(Table63[[#This Row],[Total Revenue]]=0,0,Table63[[#This Row],[Profit]]/Table63[[#This Row],[Total Revenue]])</f>
        <v>0.82627363553794075</v>
      </c>
      <c r="N142" s="28" t="str">
        <f>YEAR(Table63[[#This Row],[Order Date]])&amp;"-"&amp;TEXT(Table63[[#This Row],[Order Date]],"mm")</f>
        <v>2023-05</v>
      </c>
      <c r="O142" s="22">
        <f>IF(Table63[[#This Row],[Unit sold Filled]]=0,0,Table63[[#This Row],[Total Revenue]]/Table63[[#This Row],[Unit sold Filled]])</f>
        <v>121.11</v>
      </c>
    </row>
    <row r="143" spans="1:15" ht="15" thickBot="1" x14ac:dyDescent="0.35">
      <c r="A143" s="1" t="s">
        <v>170</v>
      </c>
      <c r="B143" s="3" t="s">
        <v>22</v>
      </c>
      <c r="C143" s="1" t="s">
        <v>18</v>
      </c>
      <c r="D143" t="s">
        <v>42</v>
      </c>
      <c r="E143" s="1" t="s">
        <v>24</v>
      </c>
      <c r="F143" s="1" t="s">
        <v>15</v>
      </c>
      <c r="G143" s="2">
        <v>45068</v>
      </c>
      <c r="H143" s="24">
        <v>483</v>
      </c>
      <c r="I143" s="23">
        <v>481.86</v>
      </c>
      <c r="J143" s="3">
        <v>17.13</v>
      </c>
      <c r="K143">
        <v>232738.38</v>
      </c>
      <c r="L143" s="22">
        <f>(Table63[[#This Row],[Unit sold Filled]]*Table63[[#This Row],[Unit Price Filled]])-(Table63[[#This Row],[Unit sold Filled]]*Table63[[#This Row],[Unit Cost]])</f>
        <v>224464.59</v>
      </c>
      <c r="M143" s="27">
        <f>IF(Table63[[#This Row],[Total Revenue]]=0,0,Table63[[#This Row],[Profit]]/Table63[[#This Row],[Total Revenue]])</f>
        <v>0.96445025526086414</v>
      </c>
      <c r="N143" s="28" t="str">
        <f>YEAR(Table63[[#This Row],[Order Date]])&amp;"-"&amp;TEXT(Table63[[#This Row],[Order Date]],"mm")</f>
        <v>2023-05</v>
      </c>
      <c r="O143" s="22">
        <f>IF(Table63[[#This Row],[Unit sold Filled]]=0,0,Table63[[#This Row],[Total Revenue]]/Table63[[#This Row],[Unit sold Filled]])</f>
        <v>481.86</v>
      </c>
    </row>
    <row r="144" spans="1:15" ht="15" thickBot="1" x14ac:dyDescent="0.35">
      <c r="A144" s="15" t="s">
        <v>171</v>
      </c>
      <c r="B144" s="17" t="s">
        <v>17</v>
      </c>
      <c r="C144" s="15" t="s">
        <v>50</v>
      </c>
      <c r="D144" t="s">
        <v>42</v>
      </c>
      <c r="E144" s="15" t="s">
        <v>24</v>
      </c>
      <c r="F144" s="15" t="s">
        <v>20</v>
      </c>
      <c r="G144" s="18">
        <v>45069</v>
      </c>
      <c r="H144" s="24">
        <v>129</v>
      </c>
      <c r="I144" s="23">
        <v>131.38</v>
      </c>
      <c r="J144" s="17">
        <v>298.99</v>
      </c>
      <c r="K144">
        <v>16948.02</v>
      </c>
      <c r="L144" s="22">
        <f>(Table63[[#This Row],[Unit sold Filled]]*Table63[[#This Row],[Unit Price Filled]])-(Table63[[#This Row],[Unit sold Filled]]*Table63[[#This Row],[Unit Cost]])</f>
        <v>-21621.69</v>
      </c>
      <c r="M144" s="27">
        <f>IF(Table63[[#This Row],[Total Revenue]]=0,0,Table63[[#This Row],[Profit]]/Table63[[#This Row],[Total Revenue]])</f>
        <v>-1.2757649566144009</v>
      </c>
      <c r="N144" s="28" t="str">
        <f>YEAR(Table63[[#This Row],[Order Date]])&amp;"-"&amp;TEXT(Table63[[#This Row],[Order Date]],"mm")</f>
        <v>2023-05</v>
      </c>
      <c r="O144" s="22">
        <f>IF(Table63[[#This Row],[Unit sold Filled]]=0,0,Table63[[#This Row],[Total Revenue]]/Table63[[#This Row],[Unit sold Filled]])</f>
        <v>131.38</v>
      </c>
    </row>
    <row r="145" spans="1:15" ht="15" thickBot="1" x14ac:dyDescent="0.35">
      <c r="A145" s="1" t="s">
        <v>172</v>
      </c>
      <c r="B145" s="3" t="s">
        <v>17</v>
      </c>
      <c r="C145" s="1" t="s">
        <v>12</v>
      </c>
      <c r="D145" t="s">
        <v>13</v>
      </c>
      <c r="E145" s="1" t="s">
        <v>14</v>
      </c>
      <c r="F145" s="1" t="s">
        <v>28</v>
      </c>
      <c r="G145" s="2">
        <v>45070</v>
      </c>
      <c r="H145" s="24">
        <v>219</v>
      </c>
      <c r="I145" s="23">
        <v>332.51</v>
      </c>
      <c r="J145" s="3">
        <v>264.3</v>
      </c>
      <c r="K145">
        <v>72819.69</v>
      </c>
      <c r="L145" s="22">
        <f>(Table63[[#This Row],[Unit sold Filled]]*Table63[[#This Row],[Unit Price Filled]])-(Table63[[#This Row],[Unit sold Filled]]*Table63[[#This Row],[Unit Cost]])</f>
        <v>14937.989999999998</v>
      </c>
      <c r="M145" s="27">
        <f>IF(Table63[[#This Row],[Total Revenue]]=0,0,Table63[[#This Row],[Profit]]/Table63[[#This Row],[Total Revenue]])</f>
        <v>0.20513668761841747</v>
      </c>
      <c r="N145" s="28" t="str">
        <f>YEAR(Table63[[#This Row],[Order Date]])&amp;"-"&amp;TEXT(Table63[[#This Row],[Order Date]],"mm")</f>
        <v>2023-05</v>
      </c>
      <c r="O145" s="22">
        <f>IF(Table63[[#This Row],[Unit sold Filled]]=0,0,Table63[[#This Row],[Total Revenue]]/Table63[[#This Row],[Unit sold Filled]])</f>
        <v>332.51</v>
      </c>
    </row>
    <row r="146" spans="1:15" ht="15" thickBot="1" x14ac:dyDescent="0.35">
      <c r="A146" s="15" t="s">
        <v>173</v>
      </c>
      <c r="B146" s="17" t="s">
        <v>17</v>
      </c>
      <c r="C146" s="15" t="s">
        <v>12</v>
      </c>
      <c r="D146" t="s">
        <v>13</v>
      </c>
      <c r="E146" s="15" t="s">
        <v>24</v>
      </c>
      <c r="F146" s="15" t="s">
        <v>28</v>
      </c>
      <c r="G146" s="18">
        <v>45071</v>
      </c>
      <c r="H146" s="24">
        <v>315</v>
      </c>
      <c r="I146" s="23">
        <v>489.42</v>
      </c>
      <c r="J146" s="17">
        <v>321.25</v>
      </c>
      <c r="K146">
        <v>154167.30000000002</v>
      </c>
      <c r="L146" s="22">
        <f>(Table63[[#This Row],[Unit sold Filled]]*Table63[[#This Row],[Unit Price Filled]])-(Table63[[#This Row],[Unit sold Filled]]*Table63[[#This Row],[Unit Cost]])</f>
        <v>52973.550000000017</v>
      </c>
      <c r="M146" s="27">
        <f>IF(Table63[[#This Row],[Total Revenue]]=0,0,Table63[[#This Row],[Profit]]/Table63[[#This Row],[Total Revenue]])</f>
        <v>0.34361080462588378</v>
      </c>
      <c r="N146" s="28" t="str">
        <f>YEAR(Table63[[#This Row],[Order Date]])&amp;"-"&amp;TEXT(Table63[[#This Row],[Order Date]],"mm")</f>
        <v>2023-05</v>
      </c>
      <c r="O146" s="22">
        <f>IF(Table63[[#This Row],[Unit sold Filled]]=0,0,Table63[[#This Row],[Total Revenue]]/Table63[[#This Row],[Unit sold Filled]])</f>
        <v>489.42000000000007</v>
      </c>
    </row>
    <row r="147" spans="1:15" ht="15" thickBot="1" x14ac:dyDescent="0.35">
      <c r="A147" s="1" t="s">
        <v>174</v>
      </c>
      <c r="B147" s="3" t="s">
        <v>11</v>
      </c>
      <c r="C147" s="1" t="s">
        <v>12</v>
      </c>
      <c r="D147" t="s">
        <v>27</v>
      </c>
      <c r="E147" s="1" t="s">
        <v>14</v>
      </c>
      <c r="F147" s="1" t="s">
        <v>28</v>
      </c>
      <c r="G147" s="2">
        <v>45072</v>
      </c>
      <c r="H147" s="24">
        <v>279</v>
      </c>
      <c r="I147" s="23">
        <v>190.28</v>
      </c>
      <c r="J147" s="3">
        <v>43.94</v>
      </c>
      <c r="K147">
        <v>53088.12</v>
      </c>
      <c r="L147" s="22">
        <f>(Table63[[#This Row],[Unit sold Filled]]*Table63[[#This Row],[Unit Price Filled]])-(Table63[[#This Row],[Unit sold Filled]]*Table63[[#This Row],[Unit Cost]])</f>
        <v>40828.86</v>
      </c>
      <c r="M147" s="27">
        <f>IF(Table63[[#This Row],[Total Revenue]]=0,0,Table63[[#This Row],[Profit]]/Table63[[#This Row],[Total Revenue]])</f>
        <v>0.76907714946394778</v>
      </c>
      <c r="N147" s="28" t="str">
        <f>YEAR(Table63[[#This Row],[Order Date]])&amp;"-"&amp;TEXT(Table63[[#This Row],[Order Date]],"mm")</f>
        <v>2023-05</v>
      </c>
      <c r="O147" s="22">
        <f>IF(Table63[[#This Row],[Unit sold Filled]]=0,0,Table63[[#This Row],[Total Revenue]]/Table63[[#This Row],[Unit sold Filled]])</f>
        <v>190.28</v>
      </c>
    </row>
    <row r="148" spans="1:15" ht="15" thickBot="1" x14ac:dyDescent="0.35">
      <c r="A148" s="15" t="s">
        <v>175</v>
      </c>
      <c r="B148" s="17" t="s">
        <v>11</v>
      </c>
      <c r="C148" s="15" t="s">
        <v>50</v>
      </c>
      <c r="D148" t="s">
        <v>23</v>
      </c>
      <c r="E148" s="15" t="s">
        <v>24</v>
      </c>
      <c r="F148" s="15" t="s">
        <v>20</v>
      </c>
      <c r="G148" s="18">
        <v>45073</v>
      </c>
      <c r="H148" s="24">
        <v>201</v>
      </c>
      <c r="I148" s="23">
        <v>13.67</v>
      </c>
      <c r="J148" s="17">
        <v>16.16</v>
      </c>
      <c r="K148">
        <v>2747.67</v>
      </c>
      <c r="L148" s="22">
        <f>(Table63[[#This Row],[Unit sold Filled]]*Table63[[#This Row],[Unit Price Filled]])-(Table63[[#This Row],[Unit sold Filled]]*Table63[[#This Row],[Unit Cost]])</f>
        <v>-500.48999999999978</v>
      </c>
      <c r="M148" s="27">
        <f>IF(Table63[[#This Row],[Total Revenue]]=0,0,Table63[[#This Row],[Profit]]/Table63[[#This Row],[Total Revenue]])</f>
        <v>-0.18215069495245054</v>
      </c>
      <c r="N148" s="28" t="str">
        <f>YEAR(Table63[[#This Row],[Order Date]])&amp;"-"&amp;TEXT(Table63[[#This Row],[Order Date]],"mm")</f>
        <v>2023-05</v>
      </c>
      <c r="O148" s="22">
        <f>IF(Table63[[#This Row],[Unit sold Filled]]=0,0,Table63[[#This Row],[Total Revenue]]/Table63[[#This Row],[Unit sold Filled]])</f>
        <v>13.67</v>
      </c>
    </row>
    <row r="149" spans="1:15" ht="15" thickBot="1" x14ac:dyDescent="0.35">
      <c r="A149" s="1" t="s">
        <v>176</v>
      </c>
      <c r="B149" s="3" t="s">
        <v>11</v>
      </c>
      <c r="C149" s="1" t="s">
        <v>12</v>
      </c>
      <c r="D149" t="s">
        <v>23</v>
      </c>
      <c r="E149" s="1" t="s">
        <v>14</v>
      </c>
      <c r="F149" s="1" t="s">
        <v>15</v>
      </c>
      <c r="G149" s="2">
        <v>45074</v>
      </c>
      <c r="H149" s="24">
        <v>184</v>
      </c>
      <c r="I149" s="23">
        <v>125.85</v>
      </c>
      <c r="J149" s="3">
        <v>204.41</v>
      </c>
      <c r="K149">
        <v>23156.399999999998</v>
      </c>
      <c r="L149" s="22">
        <f>(Table63[[#This Row],[Unit sold Filled]]*Table63[[#This Row],[Unit Price Filled]])-(Table63[[#This Row],[Unit sold Filled]]*Table63[[#This Row],[Unit Cost]])</f>
        <v>-14455.040000000005</v>
      </c>
      <c r="M149" s="27">
        <f>IF(Table63[[#This Row],[Total Revenue]]=0,0,Table63[[#This Row],[Profit]]/Table63[[#This Row],[Total Revenue]])</f>
        <v>-0.62423520063567761</v>
      </c>
      <c r="N149" s="28" t="str">
        <f>YEAR(Table63[[#This Row],[Order Date]])&amp;"-"&amp;TEXT(Table63[[#This Row],[Order Date]],"mm")</f>
        <v>2023-05</v>
      </c>
      <c r="O149" s="22">
        <f>IF(Table63[[#This Row],[Unit sold Filled]]=0,0,Table63[[#This Row],[Total Revenue]]/Table63[[#This Row],[Unit sold Filled]])</f>
        <v>125.85</v>
      </c>
    </row>
    <row r="150" spans="1:15" ht="15" thickBot="1" x14ac:dyDescent="0.35">
      <c r="A150" s="15" t="s">
        <v>177</v>
      </c>
      <c r="B150" s="17" t="s">
        <v>22</v>
      </c>
      <c r="C150" s="15" t="s">
        <v>50</v>
      </c>
      <c r="D150" t="s">
        <v>19</v>
      </c>
      <c r="E150" s="15" t="s">
        <v>24</v>
      </c>
      <c r="F150" s="15" t="s">
        <v>20</v>
      </c>
      <c r="G150" s="18">
        <v>45075</v>
      </c>
      <c r="H150" s="24">
        <v>294</v>
      </c>
      <c r="I150" s="23">
        <v>416.28</v>
      </c>
      <c r="J150" s="17">
        <v>156.26</v>
      </c>
      <c r="K150">
        <v>122386.31999999999</v>
      </c>
      <c r="L150" s="22">
        <f>(Table63[[#This Row],[Unit sold Filled]]*Table63[[#This Row],[Unit Price Filled]])-(Table63[[#This Row],[Unit sold Filled]]*Table63[[#This Row],[Unit Cost]])</f>
        <v>76445.88</v>
      </c>
      <c r="M150" s="27">
        <f>IF(Table63[[#This Row],[Total Revenue]]=0,0,Table63[[#This Row],[Profit]]/Table63[[#This Row],[Total Revenue]])</f>
        <v>0.62462765446334201</v>
      </c>
      <c r="N150" s="28" t="str">
        <f>YEAR(Table63[[#This Row],[Order Date]])&amp;"-"&amp;TEXT(Table63[[#This Row],[Order Date]],"mm")</f>
        <v>2023-05</v>
      </c>
      <c r="O150" s="22">
        <f>IF(Table63[[#This Row],[Unit sold Filled]]=0,0,Table63[[#This Row],[Total Revenue]]/Table63[[#This Row],[Unit sold Filled]])</f>
        <v>416.28</v>
      </c>
    </row>
    <row r="151" spans="1:15" ht="15" thickBot="1" x14ac:dyDescent="0.35">
      <c r="A151" s="1" t="s">
        <v>178</v>
      </c>
      <c r="B151" s="3" t="s">
        <v>17</v>
      </c>
      <c r="C151" s="1" t="s">
        <v>12</v>
      </c>
      <c r="D151" t="s">
        <v>27</v>
      </c>
      <c r="E151" s="1" t="s">
        <v>14</v>
      </c>
      <c r="F151" s="1" t="s">
        <v>20</v>
      </c>
      <c r="G151" s="2">
        <v>45076</v>
      </c>
      <c r="H151" s="24">
        <v>213</v>
      </c>
      <c r="I151" s="23">
        <v>432.98</v>
      </c>
      <c r="J151" s="3">
        <v>185.85</v>
      </c>
      <c r="K151">
        <v>92224.74</v>
      </c>
      <c r="L151" s="22">
        <f>(Table63[[#This Row],[Unit sold Filled]]*Table63[[#This Row],[Unit Price Filled]])-(Table63[[#This Row],[Unit sold Filled]]*Table63[[#This Row],[Unit Cost]])</f>
        <v>52638.69000000001</v>
      </c>
      <c r="M151" s="27">
        <f>IF(Table63[[#This Row],[Total Revenue]]=0,0,Table63[[#This Row],[Profit]]/Table63[[#This Row],[Total Revenue]])</f>
        <v>0.57076539332070775</v>
      </c>
      <c r="N151" s="28" t="str">
        <f>YEAR(Table63[[#This Row],[Order Date]])&amp;"-"&amp;TEXT(Table63[[#This Row],[Order Date]],"mm")</f>
        <v>2023-05</v>
      </c>
      <c r="O151" s="22">
        <f>IF(Table63[[#This Row],[Unit sold Filled]]=0,0,Table63[[#This Row],[Total Revenue]]/Table63[[#This Row],[Unit sold Filled]])</f>
        <v>432.98</v>
      </c>
    </row>
    <row r="152" spans="1:15" ht="15" thickBot="1" x14ac:dyDescent="0.35">
      <c r="A152" s="15" t="s">
        <v>179</v>
      </c>
      <c r="B152" s="17" t="s">
        <v>11</v>
      </c>
      <c r="C152" s="15" t="s">
        <v>31</v>
      </c>
      <c r="D152" t="s">
        <v>27</v>
      </c>
      <c r="E152" s="15" t="s">
        <v>24</v>
      </c>
      <c r="F152" s="15" t="s">
        <v>15</v>
      </c>
      <c r="G152" s="18">
        <v>45077</v>
      </c>
      <c r="H152" s="24">
        <v>173</v>
      </c>
      <c r="I152" s="23">
        <v>385.42</v>
      </c>
      <c r="J152" s="17">
        <v>396.65</v>
      </c>
      <c r="K152">
        <v>66677.66</v>
      </c>
      <c r="L152" s="22">
        <f>(Table63[[#This Row],[Unit sold Filled]]*Table63[[#This Row],[Unit Price Filled]])-(Table63[[#This Row],[Unit sold Filled]]*Table63[[#This Row],[Unit Cost]])</f>
        <v>-1942.7899999999936</v>
      </c>
      <c r="M152" s="27">
        <f>IF(Table63[[#This Row],[Total Revenue]]=0,0,Table63[[#This Row],[Profit]]/Table63[[#This Row],[Total Revenue]])</f>
        <v>-2.9137045301229729E-2</v>
      </c>
      <c r="N152" s="28" t="str">
        <f>YEAR(Table63[[#This Row],[Order Date]])&amp;"-"&amp;TEXT(Table63[[#This Row],[Order Date]],"mm")</f>
        <v>2023-05</v>
      </c>
      <c r="O152" s="22">
        <f>IF(Table63[[#This Row],[Unit sold Filled]]=0,0,Table63[[#This Row],[Total Revenue]]/Table63[[#This Row],[Unit sold Filled]])</f>
        <v>385.42</v>
      </c>
    </row>
    <row r="153" spans="1:15" ht="15" thickBot="1" x14ac:dyDescent="0.35">
      <c r="A153" s="1" t="s">
        <v>180</v>
      </c>
      <c r="B153" s="3" t="s">
        <v>11</v>
      </c>
      <c r="C153" s="1" t="s">
        <v>12</v>
      </c>
      <c r="D153" t="s">
        <v>27</v>
      </c>
      <c r="E153" s="1" t="s">
        <v>14</v>
      </c>
      <c r="F153" s="1" t="s">
        <v>15</v>
      </c>
      <c r="G153" s="2">
        <v>45078</v>
      </c>
      <c r="H153" s="24">
        <v>260</v>
      </c>
      <c r="I153" s="23">
        <v>60.99</v>
      </c>
      <c r="J153" s="3">
        <v>388.36</v>
      </c>
      <c r="K153">
        <v>15857.4</v>
      </c>
      <c r="L153" s="22">
        <f>(Table63[[#This Row],[Unit sold Filled]]*Table63[[#This Row],[Unit Price Filled]])-(Table63[[#This Row],[Unit sold Filled]]*Table63[[#This Row],[Unit Cost]])</f>
        <v>-85116.200000000012</v>
      </c>
      <c r="M153" s="27">
        <f>IF(Table63[[#This Row],[Total Revenue]]=0,0,Table63[[#This Row],[Profit]]/Table63[[#This Row],[Total Revenue]])</f>
        <v>-5.3676012461059202</v>
      </c>
      <c r="N153" s="28" t="str">
        <f>YEAR(Table63[[#This Row],[Order Date]])&amp;"-"&amp;TEXT(Table63[[#This Row],[Order Date]],"mm")</f>
        <v>2023-06</v>
      </c>
      <c r="O153" s="22">
        <f>IF(Table63[[#This Row],[Unit sold Filled]]=0,0,Table63[[#This Row],[Total Revenue]]/Table63[[#This Row],[Unit sold Filled]])</f>
        <v>60.99</v>
      </c>
    </row>
    <row r="154" spans="1:15" ht="15" thickBot="1" x14ac:dyDescent="0.35">
      <c r="A154" s="15" t="s">
        <v>181</v>
      </c>
      <c r="B154" s="17" t="s">
        <v>22</v>
      </c>
      <c r="C154" s="15" t="s">
        <v>50</v>
      </c>
      <c r="D154" t="s">
        <v>27</v>
      </c>
      <c r="E154" s="15" t="s">
        <v>24</v>
      </c>
      <c r="F154" s="15" t="s">
        <v>15</v>
      </c>
      <c r="G154" s="18">
        <v>45079</v>
      </c>
      <c r="H154" s="24">
        <v>236</v>
      </c>
      <c r="I154" s="23">
        <v>398.78</v>
      </c>
      <c r="J154" s="17">
        <v>377.04</v>
      </c>
      <c r="K154">
        <v>94112.079999999987</v>
      </c>
      <c r="L154" s="22">
        <f>(Table63[[#This Row],[Unit sold Filled]]*Table63[[#This Row],[Unit Price Filled]])-(Table63[[#This Row],[Unit sold Filled]]*Table63[[#This Row],[Unit Cost]])</f>
        <v>5130.6399999999849</v>
      </c>
      <c r="M154" s="27">
        <f>IF(Table63[[#This Row],[Total Revenue]]=0,0,Table63[[#This Row],[Profit]]/Table63[[#This Row],[Total Revenue]])</f>
        <v>5.4516274637644663E-2</v>
      </c>
      <c r="N154" s="28" t="str">
        <f>YEAR(Table63[[#This Row],[Order Date]])&amp;"-"&amp;TEXT(Table63[[#This Row],[Order Date]],"mm")</f>
        <v>2023-06</v>
      </c>
      <c r="O154" s="22">
        <f>IF(Table63[[#This Row],[Unit sold Filled]]=0,0,Table63[[#This Row],[Total Revenue]]/Table63[[#This Row],[Unit sold Filled]])</f>
        <v>398.78</v>
      </c>
    </row>
    <row r="155" spans="1:15" ht="15" thickBot="1" x14ac:dyDescent="0.35">
      <c r="A155" s="1" t="s">
        <v>182</v>
      </c>
      <c r="B155" s="3" t="s">
        <v>11</v>
      </c>
      <c r="C155" s="1" t="s">
        <v>26</v>
      </c>
      <c r="D155" t="s">
        <v>23</v>
      </c>
      <c r="E155" s="1" t="s">
        <v>14</v>
      </c>
      <c r="F155" s="1" t="s">
        <v>28</v>
      </c>
      <c r="G155" s="2">
        <v>45080</v>
      </c>
      <c r="H155" s="24">
        <v>445</v>
      </c>
      <c r="I155" s="23">
        <v>459.75</v>
      </c>
      <c r="J155" s="3">
        <v>313.97000000000003</v>
      </c>
      <c r="K155">
        <v>204588.75</v>
      </c>
      <c r="L155" s="22">
        <f>(Table63[[#This Row],[Unit sold Filled]]*Table63[[#This Row],[Unit Price Filled]])-(Table63[[#This Row],[Unit sold Filled]]*Table63[[#This Row],[Unit Cost]])</f>
        <v>64872.099999999977</v>
      </c>
      <c r="M155" s="27">
        <f>IF(Table63[[#This Row],[Total Revenue]]=0,0,Table63[[#This Row],[Profit]]/Table63[[#This Row],[Total Revenue]])</f>
        <v>0.31708537248504609</v>
      </c>
      <c r="N155" s="28" t="str">
        <f>YEAR(Table63[[#This Row],[Order Date]])&amp;"-"&amp;TEXT(Table63[[#This Row],[Order Date]],"mm")</f>
        <v>2023-06</v>
      </c>
      <c r="O155" s="22">
        <f>IF(Table63[[#This Row],[Unit sold Filled]]=0,0,Table63[[#This Row],[Total Revenue]]/Table63[[#This Row],[Unit sold Filled]])</f>
        <v>459.75</v>
      </c>
    </row>
    <row r="156" spans="1:15" ht="15" thickBot="1" x14ac:dyDescent="0.35">
      <c r="A156" s="15" t="s">
        <v>183</v>
      </c>
      <c r="B156" s="17" t="s">
        <v>22</v>
      </c>
      <c r="C156" s="15" t="s">
        <v>12</v>
      </c>
      <c r="D156" t="s">
        <v>23</v>
      </c>
      <c r="E156" s="15" t="s">
        <v>24</v>
      </c>
      <c r="F156" s="15" t="s">
        <v>15</v>
      </c>
      <c r="G156" s="18">
        <v>45081</v>
      </c>
      <c r="H156" s="24">
        <v>390</v>
      </c>
      <c r="I156" s="23">
        <v>302.3</v>
      </c>
      <c r="J156" s="17">
        <v>143.22999999999999</v>
      </c>
      <c r="K156">
        <v>117897</v>
      </c>
      <c r="L156" s="22">
        <f>(Table63[[#This Row],[Unit sold Filled]]*Table63[[#This Row],[Unit Price Filled]])-(Table63[[#This Row],[Unit sold Filled]]*Table63[[#This Row],[Unit Cost]])</f>
        <v>62037.3</v>
      </c>
      <c r="M156" s="27">
        <f>IF(Table63[[#This Row],[Total Revenue]]=0,0,Table63[[#This Row],[Profit]]/Table63[[#This Row],[Total Revenue]])</f>
        <v>0.52619913992722467</v>
      </c>
      <c r="N156" s="28" t="str">
        <f>YEAR(Table63[[#This Row],[Order Date]])&amp;"-"&amp;TEXT(Table63[[#This Row],[Order Date]],"mm")</f>
        <v>2023-06</v>
      </c>
      <c r="O156" s="22">
        <f>IF(Table63[[#This Row],[Unit sold Filled]]=0,0,Table63[[#This Row],[Total Revenue]]/Table63[[#This Row],[Unit sold Filled]])</f>
        <v>302.3</v>
      </c>
    </row>
    <row r="157" spans="1:15" ht="15" thickBot="1" x14ac:dyDescent="0.35">
      <c r="A157" s="1" t="s">
        <v>184</v>
      </c>
      <c r="B157" s="3" t="s">
        <v>48</v>
      </c>
      <c r="C157" s="1" t="s">
        <v>26</v>
      </c>
      <c r="D157" t="s">
        <v>27</v>
      </c>
      <c r="E157" s="1" t="s">
        <v>14</v>
      </c>
      <c r="F157" s="1" t="s">
        <v>20</v>
      </c>
      <c r="G157" s="2">
        <v>45082</v>
      </c>
      <c r="H157" s="24">
        <v>469</v>
      </c>
      <c r="I157" s="23">
        <v>470.73</v>
      </c>
      <c r="J157" s="3">
        <v>166.03</v>
      </c>
      <c r="K157">
        <v>220772.37</v>
      </c>
      <c r="L157" s="22">
        <f>(Table63[[#This Row],[Unit sold Filled]]*Table63[[#This Row],[Unit Price Filled]])-(Table63[[#This Row],[Unit sold Filled]]*Table63[[#This Row],[Unit Cost]])</f>
        <v>142904.29999999999</v>
      </c>
      <c r="M157" s="27">
        <f>IF(Table63[[#This Row],[Total Revenue]]=0,0,Table63[[#This Row],[Profit]]/Table63[[#This Row],[Total Revenue]])</f>
        <v>0.64729250313343101</v>
      </c>
      <c r="N157" s="28" t="str">
        <f>YEAR(Table63[[#This Row],[Order Date]])&amp;"-"&amp;TEXT(Table63[[#This Row],[Order Date]],"mm")</f>
        <v>2023-06</v>
      </c>
      <c r="O157" s="22">
        <f>IF(Table63[[#This Row],[Unit sold Filled]]=0,0,Table63[[#This Row],[Total Revenue]]/Table63[[#This Row],[Unit sold Filled]])</f>
        <v>470.73</v>
      </c>
    </row>
    <row r="158" spans="1:15" ht="15" thickBot="1" x14ac:dyDescent="0.35">
      <c r="A158" s="15" t="s">
        <v>185</v>
      </c>
      <c r="B158" s="17" t="s">
        <v>11</v>
      </c>
      <c r="C158" s="15" t="s">
        <v>31</v>
      </c>
      <c r="D158" t="s">
        <v>19</v>
      </c>
      <c r="E158" s="15" t="s">
        <v>14</v>
      </c>
      <c r="F158" s="15" t="s">
        <v>15</v>
      </c>
      <c r="G158" s="18">
        <v>45083</v>
      </c>
      <c r="H158" s="24">
        <v>16</v>
      </c>
      <c r="I158" s="23">
        <v>249.64520588235297</v>
      </c>
      <c r="J158" s="17">
        <v>220.75</v>
      </c>
      <c r="K158">
        <v>3994.3232941176475</v>
      </c>
      <c r="L158" s="22">
        <f>(Table63[[#This Row],[Unit sold Filled]]*Table63[[#This Row],[Unit Price Filled]])-(Table63[[#This Row],[Unit sold Filled]]*Table63[[#This Row],[Unit Cost]])</f>
        <v>462.32329411764749</v>
      </c>
      <c r="M158" s="27">
        <f>IF(Table63[[#This Row],[Total Revenue]]=0,0,Table63[[#This Row],[Profit]]/Table63[[#This Row],[Total Revenue]])</f>
        <v>0.11574508623237906</v>
      </c>
      <c r="N158" s="28" t="str">
        <f>YEAR(Table63[[#This Row],[Order Date]])&amp;"-"&amp;TEXT(Table63[[#This Row],[Order Date]],"mm")</f>
        <v>2023-06</v>
      </c>
      <c r="O158" s="22">
        <f>IF(Table63[[#This Row],[Unit sold Filled]]=0,0,Table63[[#This Row],[Total Revenue]]/Table63[[#This Row],[Unit sold Filled]])</f>
        <v>249.64520588235297</v>
      </c>
    </row>
    <row r="159" spans="1:15" ht="15" thickBot="1" x14ac:dyDescent="0.35">
      <c r="A159" s="1" t="s">
        <v>186</v>
      </c>
      <c r="B159" s="3" t="s">
        <v>48</v>
      </c>
      <c r="C159" s="1" t="s">
        <v>18</v>
      </c>
      <c r="D159" t="s">
        <v>42</v>
      </c>
      <c r="E159" s="1" t="s">
        <v>24</v>
      </c>
      <c r="F159" s="1" t="s">
        <v>20</v>
      </c>
      <c r="G159" s="2">
        <v>45084</v>
      </c>
      <c r="H159" s="24">
        <v>38</v>
      </c>
      <c r="I159" s="23">
        <v>335.15</v>
      </c>
      <c r="J159" s="3">
        <v>332.55</v>
      </c>
      <c r="K159">
        <v>12735.699999999999</v>
      </c>
      <c r="L159" s="22">
        <f>(Table63[[#This Row],[Unit sold Filled]]*Table63[[#This Row],[Unit Price Filled]])-(Table63[[#This Row],[Unit sold Filled]]*Table63[[#This Row],[Unit Cost]])</f>
        <v>98.799999999999272</v>
      </c>
      <c r="M159" s="27">
        <f>IF(Table63[[#This Row],[Total Revenue]]=0,0,Table63[[#This Row],[Profit]]/Table63[[#This Row],[Total Revenue]])</f>
        <v>7.7577204236908281E-3</v>
      </c>
      <c r="N159" s="28" t="str">
        <f>YEAR(Table63[[#This Row],[Order Date]])&amp;"-"&amp;TEXT(Table63[[#This Row],[Order Date]],"mm")</f>
        <v>2023-06</v>
      </c>
      <c r="O159" s="22">
        <f>IF(Table63[[#This Row],[Unit sold Filled]]=0,0,Table63[[#This Row],[Total Revenue]]/Table63[[#This Row],[Unit sold Filled]])</f>
        <v>335.15</v>
      </c>
    </row>
    <row r="160" spans="1:15" ht="15" thickBot="1" x14ac:dyDescent="0.35">
      <c r="A160" s="15" t="s">
        <v>187</v>
      </c>
      <c r="B160" s="17" t="s">
        <v>22</v>
      </c>
      <c r="C160" s="15" t="s">
        <v>31</v>
      </c>
      <c r="D160" t="s">
        <v>389</v>
      </c>
      <c r="E160" s="15" t="s">
        <v>24</v>
      </c>
      <c r="F160" s="15" t="s">
        <v>28</v>
      </c>
      <c r="G160" s="18">
        <v>45085</v>
      </c>
      <c r="H160" s="24">
        <v>404</v>
      </c>
      <c r="I160" s="23">
        <v>290.70999999999998</v>
      </c>
      <c r="J160" s="17">
        <v>29.35</v>
      </c>
      <c r="K160">
        <v>117446.84</v>
      </c>
      <c r="L160" s="22">
        <f>(Table63[[#This Row],[Unit sold Filled]]*Table63[[#This Row],[Unit Price Filled]])-(Table63[[#This Row],[Unit sold Filled]]*Table63[[#This Row],[Unit Cost]])</f>
        <v>105589.44</v>
      </c>
      <c r="M160" s="27">
        <f>IF(Table63[[#This Row],[Total Revenue]]=0,0,Table63[[#This Row],[Profit]]/Table63[[#This Row],[Total Revenue]])</f>
        <v>0.89904028069209874</v>
      </c>
      <c r="N160" s="28" t="str">
        <f>YEAR(Table63[[#This Row],[Order Date]])&amp;"-"&amp;TEXT(Table63[[#This Row],[Order Date]],"mm")</f>
        <v>2023-06</v>
      </c>
      <c r="O160" s="22">
        <f>IF(Table63[[#This Row],[Unit sold Filled]]=0,0,Table63[[#This Row],[Total Revenue]]/Table63[[#This Row],[Unit sold Filled]])</f>
        <v>290.70999999999998</v>
      </c>
    </row>
    <row r="161" spans="1:15" ht="15" thickBot="1" x14ac:dyDescent="0.35">
      <c r="A161" s="1" t="s">
        <v>188</v>
      </c>
      <c r="B161" s="3" t="s">
        <v>17</v>
      </c>
      <c r="C161" s="1" t="s">
        <v>12</v>
      </c>
      <c r="D161" t="s">
        <v>19</v>
      </c>
      <c r="E161" s="1" t="s">
        <v>14</v>
      </c>
      <c r="F161" s="1" t="s">
        <v>20</v>
      </c>
      <c r="G161" s="2">
        <v>45086</v>
      </c>
      <c r="H161" s="24">
        <v>42</v>
      </c>
      <c r="I161" s="23">
        <v>177.54</v>
      </c>
      <c r="J161" s="3">
        <v>170.87</v>
      </c>
      <c r="K161">
        <v>7456.6799999999994</v>
      </c>
      <c r="L161" s="22">
        <f>(Table63[[#This Row],[Unit sold Filled]]*Table63[[#This Row],[Unit Price Filled]])-(Table63[[#This Row],[Unit sold Filled]]*Table63[[#This Row],[Unit Cost]])</f>
        <v>280.13999999999942</v>
      </c>
      <c r="M161" s="27">
        <f>IF(Table63[[#This Row],[Total Revenue]]=0,0,Table63[[#This Row],[Profit]]/Table63[[#This Row],[Total Revenue]])</f>
        <v>3.7568998535541215E-2</v>
      </c>
      <c r="N161" s="28" t="str">
        <f>YEAR(Table63[[#This Row],[Order Date]])&amp;"-"&amp;TEXT(Table63[[#This Row],[Order Date]],"mm")</f>
        <v>2023-06</v>
      </c>
      <c r="O161" s="22">
        <f>IF(Table63[[#This Row],[Unit sold Filled]]=0,0,Table63[[#This Row],[Total Revenue]]/Table63[[#This Row],[Unit sold Filled]])</f>
        <v>177.54</v>
      </c>
    </row>
    <row r="162" spans="1:15" ht="15" thickBot="1" x14ac:dyDescent="0.35">
      <c r="A162" s="15" t="s">
        <v>189</v>
      </c>
      <c r="B162" s="17" t="s">
        <v>11</v>
      </c>
      <c r="C162" s="15" t="s">
        <v>26</v>
      </c>
      <c r="D162" t="s">
        <v>27</v>
      </c>
      <c r="E162" s="15" t="s">
        <v>24</v>
      </c>
      <c r="F162" s="15" t="s">
        <v>20</v>
      </c>
      <c r="G162" s="18">
        <v>45087</v>
      </c>
      <c r="H162" s="24">
        <v>143</v>
      </c>
      <c r="I162" s="23">
        <v>83.85</v>
      </c>
      <c r="J162" s="17">
        <v>34.880000000000003</v>
      </c>
      <c r="K162">
        <v>11990.55</v>
      </c>
      <c r="L162" s="22">
        <f>(Table63[[#This Row],[Unit sold Filled]]*Table63[[#This Row],[Unit Price Filled]])-(Table63[[#This Row],[Unit sold Filled]]*Table63[[#This Row],[Unit Cost]])</f>
        <v>7002.7099999999991</v>
      </c>
      <c r="M162" s="27">
        <f>IF(Table63[[#This Row],[Total Revenue]]=0,0,Table63[[#This Row],[Profit]]/Table63[[#This Row],[Total Revenue]])</f>
        <v>0.58401908169350025</v>
      </c>
      <c r="N162" s="28" t="str">
        <f>YEAR(Table63[[#This Row],[Order Date]])&amp;"-"&amp;TEXT(Table63[[#This Row],[Order Date]],"mm")</f>
        <v>2023-06</v>
      </c>
      <c r="O162" s="22">
        <f>IF(Table63[[#This Row],[Unit sold Filled]]=0,0,Table63[[#This Row],[Total Revenue]]/Table63[[#This Row],[Unit sold Filled]])</f>
        <v>83.85</v>
      </c>
    </row>
    <row r="163" spans="1:15" ht="15" thickBot="1" x14ac:dyDescent="0.35">
      <c r="A163" s="1" t="s">
        <v>190</v>
      </c>
      <c r="B163" s="3" t="s">
        <v>22</v>
      </c>
      <c r="C163" s="1" t="s">
        <v>26</v>
      </c>
      <c r="D163" t="s">
        <v>23</v>
      </c>
      <c r="E163" s="1" t="s">
        <v>14</v>
      </c>
      <c r="F163" s="1" t="s">
        <v>15</v>
      </c>
      <c r="G163" s="2">
        <v>45088</v>
      </c>
      <c r="H163" s="24">
        <v>376</v>
      </c>
      <c r="I163" s="23">
        <v>304.45</v>
      </c>
      <c r="J163" s="3">
        <v>206.83</v>
      </c>
      <c r="K163">
        <v>114473.2</v>
      </c>
      <c r="L163" s="22">
        <f>(Table63[[#This Row],[Unit sold Filled]]*Table63[[#This Row],[Unit Price Filled]])-(Table63[[#This Row],[Unit sold Filled]]*Table63[[#This Row],[Unit Cost]])</f>
        <v>36705.119999999995</v>
      </c>
      <c r="M163" s="27">
        <f>IF(Table63[[#This Row],[Total Revenue]]=0,0,Table63[[#This Row],[Profit]]/Table63[[#This Row],[Total Revenue]])</f>
        <v>0.32064378387255704</v>
      </c>
      <c r="N163" s="28" t="str">
        <f>YEAR(Table63[[#This Row],[Order Date]])&amp;"-"&amp;TEXT(Table63[[#This Row],[Order Date]],"mm")</f>
        <v>2023-06</v>
      </c>
      <c r="O163" s="22">
        <f>IF(Table63[[#This Row],[Unit sold Filled]]=0,0,Table63[[#This Row],[Total Revenue]]/Table63[[#This Row],[Unit sold Filled]])</f>
        <v>304.45</v>
      </c>
    </row>
    <row r="164" spans="1:15" ht="15" thickBot="1" x14ac:dyDescent="0.35">
      <c r="A164" s="15" t="s">
        <v>191</v>
      </c>
      <c r="B164" s="17" t="s">
        <v>17</v>
      </c>
      <c r="C164" s="15" t="s">
        <v>50</v>
      </c>
      <c r="D164" t="s">
        <v>42</v>
      </c>
      <c r="E164" s="15" t="s">
        <v>14</v>
      </c>
      <c r="F164" s="15" t="s">
        <v>15</v>
      </c>
      <c r="G164" s="18">
        <v>45089</v>
      </c>
      <c r="H164" s="24">
        <v>88</v>
      </c>
      <c r="I164" s="23">
        <v>162.47</v>
      </c>
      <c r="J164" s="17">
        <v>359.76</v>
      </c>
      <c r="K164">
        <v>14297.36</v>
      </c>
      <c r="L164" s="22">
        <f>(Table63[[#This Row],[Unit sold Filled]]*Table63[[#This Row],[Unit Price Filled]])-(Table63[[#This Row],[Unit sold Filled]]*Table63[[#This Row],[Unit Cost]])</f>
        <v>-17361.519999999997</v>
      </c>
      <c r="M164" s="27">
        <f>IF(Table63[[#This Row],[Total Revenue]]=0,0,Table63[[#This Row],[Profit]]/Table63[[#This Row],[Total Revenue]])</f>
        <v>-1.2143164891980056</v>
      </c>
      <c r="N164" s="28" t="str">
        <f>YEAR(Table63[[#This Row],[Order Date]])&amp;"-"&amp;TEXT(Table63[[#This Row],[Order Date]],"mm")</f>
        <v>2023-06</v>
      </c>
      <c r="O164" s="22">
        <f>IF(Table63[[#This Row],[Unit sold Filled]]=0,0,Table63[[#This Row],[Total Revenue]]/Table63[[#This Row],[Unit sold Filled]])</f>
        <v>162.47</v>
      </c>
    </row>
    <row r="165" spans="1:15" ht="15" thickBot="1" x14ac:dyDescent="0.35">
      <c r="A165" s="1" t="s">
        <v>192</v>
      </c>
      <c r="B165" s="3" t="s">
        <v>17</v>
      </c>
      <c r="C165" s="1" t="s">
        <v>26</v>
      </c>
      <c r="D165" t="s">
        <v>13</v>
      </c>
      <c r="E165" s="1" t="s">
        <v>14</v>
      </c>
      <c r="F165" s="1" t="s">
        <v>20</v>
      </c>
      <c r="G165" s="2">
        <v>45090</v>
      </c>
      <c r="H165" s="24">
        <v>425</v>
      </c>
      <c r="I165" s="23">
        <v>433.89</v>
      </c>
      <c r="J165" s="3">
        <v>313.43</v>
      </c>
      <c r="K165">
        <v>184403.25</v>
      </c>
      <c r="L165" s="22">
        <f>(Table63[[#This Row],[Unit sold Filled]]*Table63[[#This Row],[Unit Price Filled]])-(Table63[[#This Row],[Unit sold Filled]]*Table63[[#This Row],[Unit Cost]])</f>
        <v>51195.5</v>
      </c>
      <c r="M165" s="27">
        <f>IF(Table63[[#This Row],[Total Revenue]]=0,0,Table63[[#This Row],[Profit]]/Table63[[#This Row],[Total Revenue]])</f>
        <v>0.27762797022286756</v>
      </c>
      <c r="N165" s="28" t="str">
        <f>YEAR(Table63[[#This Row],[Order Date]])&amp;"-"&amp;TEXT(Table63[[#This Row],[Order Date]],"mm")</f>
        <v>2023-06</v>
      </c>
      <c r="O165" s="22">
        <f>IF(Table63[[#This Row],[Unit sold Filled]]=0,0,Table63[[#This Row],[Total Revenue]]/Table63[[#This Row],[Unit sold Filled]])</f>
        <v>433.89</v>
      </c>
    </row>
    <row r="166" spans="1:15" ht="15" thickBot="1" x14ac:dyDescent="0.35">
      <c r="A166" s="15" t="s">
        <v>193</v>
      </c>
      <c r="B166" s="17" t="s">
        <v>48</v>
      </c>
      <c r="C166" s="15" t="s">
        <v>50</v>
      </c>
      <c r="D166" t="s">
        <v>13</v>
      </c>
      <c r="E166" s="15" t="s">
        <v>24</v>
      </c>
      <c r="F166" s="15" t="s">
        <v>15</v>
      </c>
      <c r="G166" s="18">
        <v>45091</v>
      </c>
      <c r="H166" s="24">
        <v>444</v>
      </c>
      <c r="I166" s="23">
        <v>496.7</v>
      </c>
      <c r="J166" s="17">
        <v>92.68</v>
      </c>
      <c r="K166">
        <v>220534.8</v>
      </c>
      <c r="L166" s="22">
        <f>(Table63[[#This Row],[Unit sold Filled]]*Table63[[#This Row],[Unit Price Filled]])-(Table63[[#This Row],[Unit sold Filled]]*Table63[[#This Row],[Unit Cost]])</f>
        <v>179384.87999999998</v>
      </c>
      <c r="M166" s="27">
        <f>IF(Table63[[#This Row],[Total Revenue]]=0,0,Table63[[#This Row],[Profit]]/Table63[[#This Row],[Total Revenue]])</f>
        <v>0.81340849607408894</v>
      </c>
      <c r="N166" s="28" t="str">
        <f>YEAR(Table63[[#This Row],[Order Date]])&amp;"-"&amp;TEXT(Table63[[#This Row],[Order Date]],"mm")</f>
        <v>2023-06</v>
      </c>
      <c r="O166" s="22">
        <f>IF(Table63[[#This Row],[Unit sold Filled]]=0,0,Table63[[#This Row],[Total Revenue]]/Table63[[#This Row],[Unit sold Filled]])</f>
        <v>496.7</v>
      </c>
    </row>
    <row r="167" spans="1:15" ht="15" thickBot="1" x14ac:dyDescent="0.35">
      <c r="A167" s="1" t="s">
        <v>194</v>
      </c>
      <c r="B167" s="3" t="s">
        <v>22</v>
      </c>
      <c r="C167" s="1" t="s">
        <v>18</v>
      </c>
      <c r="D167" t="s">
        <v>19</v>
      </c>
      <c r="E167" s="1" t="s">
        <v>14</v>
      </c>
      <c r="F167" s="1" t="s">
        <v>28</v>
      </c>
      <c r="G167" s="2">
        <v>45092</v>
      </c>
      <c r="H167" s="24">
        <v>468</v>
      </c>
      <c r="I167" s="23">
        <v>377.45</v>
      </c>
      <c r="J167" s="3">
        <v>390.44</v>
      </c>
      <c r="K167">
        <v>176646.6</v>
      </c>
      <c r="L167" s="22">
        <f>(Table63[[#This Row],[Unit sold Filled]]*Table63[[#This Row],[Unit Price Filled]])-(Table63[[#This Row],[Unit sold Filled]]*Table63[[#This Row],[Unit Cost]])</f>
        <v>-6079.320000000007</v>
      </c>
      <c r="M167" s="27">
        <f>IF(Table63[[#This Row],[Total Revenue]]=0,0,Table63[[#This Row],[Profit]]/Table63[[#This Row],[Total Revenue]])</f>
        <v>-3.4415154325076205E-2</v>
      </c>
      <c r="N167" s="28" t="str">
        <f>YEAR(Table63[[#This Row],[Order Date]])&amp;"-"&amp;TEXT(Table63[[#This Row],[Order Date]],"mm")</f>
        <v>2023-06</v>
      </c>
      <c r="O167" s="22">
        <f>IF(Table63[[#This Row],[Unit sold Filled]]=0,0,Table63[[#This Row],[Total Revenue]]/Table63[[#This Row],[Unit sold Filled]])</f>
        <v>377.45</v>
      </c>
    </row>
    <row r="168" spans="1:15" ht="15" thickBot="1" x14ac:dyDescent="0.35">
      <c r="A168" s="15" t="s">
        <v>195</v>
      </c>
      <c r="B168" s="17" t="s">
        <v>17</v>
      </c>
      <c r="C168" s="15" t="s">
        <v>12</v>
      </c>
      <c r="D168" t="s">
        <v>27</v>
      </c>
      <c r="E168" s="15" t="s">
        <v>14</v>
      </c>
      <c r="F168" s="15" t="s">
        <v>28</v>
      </c>
      <c r="G168" s="18">
        <v>45093</v>
      </c>
      <c r="H168" s="24">
        <v>67</v>
      </c>
      <c r="I168" s="23">
        <v>49.79</v>
      </c>
      <c r="J168" s="17">
        <v>267.61</v>
      </c>
      <c r="K168">
        <v>3335.93</v>
      </c>
      <c r="L168" s="22">
        <f>(Table63[[#This Row],[Unit sold Filled]]*Table63[[#This Row],[Unit Price Filled]])-(Table63[[#This Row],[Unit sold Filled]]*Table63[[#This Row],[Unit Cost]])</f>
        <v>-14593.940000000002</v>
      </c>
      <c r="M168" s="27">
        <f>IF(Table63[[#This Row],[Total Revenue]]=0,0,Table63[[#This Row],[Profit]]/Table63[[#This Row],[Total Revenue]])</f>
        <v>-4.3747740510142608</v>
      </c>
      <c r="N168" s="28" t="str">
        <f>YEAR(Table63[[#This Row],[Order Date]])&amp;"-"&amp;TEXT(Table63[[#This Row],[Order Date]],"mm")</f>
        <v>2023-06</v>
      </c>
      <c r="O168" s="22">
        <f>IF(Table63[[#This Row],[Unit sold Filled]]=0,0,Table63[[#This Row],[Total Revenue]]/Table63[[#This Row],[Unit sold Filled]])</f>
        <v>49.79</v>
      </c>
    </row>
    <row r="169" spans="1:15" ht="15" thickBot="1" x14ac:dyDescent="0.35">
      <c r="A169" s="1" t="s">
        <v>196</v>
      </c>
      <c r="B169" s="3" t="s">
        <v>11</v>
      </c>
      <c r="C169" s="1" t="s">
        <v>50</v>
      </c>
      <c r="D169" t="s">
        <v>42</v>
      </c>
      <c r="E169" s="1" t="s">
        <v>24</v>
      </c>
      <c r="F169" s="1" t="s">
        <v>15</v>
      </c>
      <c r="G169" s="2">
        <v>45094</v>
      </c>
      <c r="H169" s="24">
        <v>480</v>
      </c>
      <c r="I169" s="23">
        <v>147.9</v>
      </c>
      <c r="J169" s="3">
        <v>6.15</v>
      </c>
      <c r="K169">
        <v>70992</v>
      </c>
      <c r="L169" s="22">
        <f>(Table63[[#This Row],[Unit sold Filled]]*Table63[[#This Row],[Unit Price Filled]])-(Table63[[#This Row],[Unit sold Filled]]*Table63[[#This Row],[Unit Cost]])</f>
        <v>68040</v>
      </c>
      <c r="M169" s="27">
        <f>IF(Table63[[#This Row],[Total Revenue]]=0,0,Table63[[#This Row],[Profit]]/Table63[[#This Row],[Total Revenue]])</f>
        <v>0.95841784989858014</v>
      </c>
      <c r="N169" s="28" t="str">
        <f>YEAR(Table63[[#This Row],[Order Date]])&amp;"-"&amp;TEXT(Table63[[#This Row],[Order Date]],"mm")</f>
        <v>2023-06</v>
      </c>
      <c r="O169" s="22">
        <f>IF(Table63[[#This Row],[Unit sold Filled]]=0,0,Table63[[#This Row],[Total Revenue]]/Table63[[#This Row],[Unit sold Filled]])</f>
        <v>147.9</v>
      </c>
    </row>
    <row r="170" spans="1:15" ht="15" thickBot="1" x14ac:dyDescent="0.35">
      <c r="A170" s="15" t="s">
        <v>197</v>
      </c>
      <c r="B170" s="17" t="s">
        <v>11</v>
      </c>
      <c r="C170" s="15" t="s">
        <v>18</v>
      </c>
      <c r="D170" t="s">
        <v>27</v>
      </c>
      <c r="E170" s="15" t="s">
        <v>24</v>
      </c>
      <c r="F170" s="15" t="s">
        <v>28</v>
      </c>
      <c r="G170" s="18">
        <v>45095</v>
      </c>
      <c r="H170" s="24">
        <v>35</v>
      </c>
      <c r="I170" s="23">
        <v>59.01</v>
      </c>
      <c r="J170" s="17">
        <v>103.65</v>
      </c>
      <c r="K170">
        <v>2065.35</v>
      </c>
      <c r="L170" s="22">
        <f>(Table63[[#This Row],[Unit sold Filled]]*Table63[[#This Row],[Unit Price Filled]])-(Table63[[#This Row],[Unit sold Filled]]*Table63[[#This Row],[Unit Cost]])</f>
        <v>-1562.4</v>
      </c>
      <c r="M170" s="27">
        <f>IF(Table63[[#This Row],[Total Revenue]]=0,0,Table63[[#This Row],[Profit]]/Table63[[#This Row],[Total Revenue]])</f>
        <v>-0.75648195221148962</v>
      </c>
      <c r="N170" s="28" t="str">
        <f>YEAR(Table63[[#This Row],[Order Date]])&amp;"-"&amp;TEXT(Table63[[#This Row],[Order Date]],"mm")</f>
        <v>2023-06</v>
      </c>
      <c r="O170" s="22">
        <f>IF(Table63[[#This Row],[Unit sold Filled]]=0,0,Table63[[#This Row],[Total Revenue]]/Table63[[#This Row],[Unit sold Filled]])</f>
        <v>59.01</v>
      </c>
    </row>
    <row r="171" spans="1:15" ht="15" thickBot="1" x14ac:dyDescent="0.35">
      <c r="A171" s="1" t="s">
        <v>198</v>
      </c>
      <c r="B171" s="3" t="s">
        <v>48</v>
      </c>
      <c r="C171" s="1" t="s">
        <v>26</v>
      </c>
      <c r="D171" t="s">
        <v>42</v>
      </c>
      <c r="E171" s="1" t="s">
        <v>24</v>
      </c>
      <c r="F171" s="1" t="s">
        <v>15</v>
      </c>
      <c r="G171" s="2">
        <v>45096</v>
      </c>
      <c r="H171" s="24">
        <v>491</v>
      </c>
      <c r="I171" s="23">
        <v>327</v>
      </c>
      <c r="J171" s="3">
        <v>105.76</v>
      </c>
      <c r="K171">
        <v>160557</v>
      </c>
      <c r="L171" s="22">
        <f>(Table63[[#This Row],[Unit sold Filled]]*Table63[[#This Row],[Unit Price Filled]])-(Table63[[#This Row],[Unit sold Filled]]*Table63[[#This Row],[Unit Cost]])</f>
        <v>108628.84</v>
      </c>
      <c r="M171" s="27">
        <f>IF(Table63[[#This Row],[Total Revenue]]=0,0,Table63[[#This Row],[Profit]]/Table63[[#This Row],[Total Revenue]])</f>
        <v>0.67657492354740056</v>
      </c>
      <c r="N171" s="28" t="str">
        <f>YEAR(Table63[[#This Row],[Order Date]])&amp;"-"&amp;TEXT(Table63[[#This Row],[Order Date]],"mm")</f>
        <v>2023-06</v>
      </c>
      <c r="O171" s="22">
        <f>IF(Table63[[#This Row],[Unit sold Filled]]=0,0,Table63[[#This Row],[Total Revenue]]/Table63[[#This Row],[Unit sold Filled]])</f>
        <v>327</v>
      </c>
    </row>
    <row r="172" spans="1:15" ht="15" thickBot="1" x14ac:dyDescent="0.35">
      <c r="A172" s="15" t="s">
        <v>199</v>
      </c>
      <c r="B172" s="17" t="s">
        <v>17</v>
      </c>
      <c r="C172" s="15" t="s">
        <v>26</v>
      </c>
      <c r="D172" t="s">
        <v>19</v>
      </c>
      <c r="E172" s="15" t="s">
        <v>24</v>
      </c>
      <c r="F172" s="15" t="s">
        <v>20</v>
      </c>
      <c r="G172" s="18">
        <v>45097</v>
      </c>
      <c r="H172" s="24">
        <v>439</v>
      </c>
      <c r="I172" s="23">
        <v>383.77</v>
      </c>
      <c r="J172" s="17">
        <v>29.56</v>
      </c>
      <c r="K172">
        <v>168475.03</v>
      </c>
      <c r="L172" s="22">
        <f>(Table63[[#This Row],[Unit sold Filled]]*Table63[[#This Row],[Unit Price Filled]])-(Table63[[#This Row],[Unit sold Filled]]*Table63[[#This Row],[Unit Cost]])</f>
        <v>155498.19</v>
      </c>
      <c r="M172" s="27">
        <f>IF(Table63[[#This Row],[Total Revenue]]=0,0,Table63[[#This Row],[Profit]]/Table63[[#This Row],[Total Revenue]])</f>
        <v>0.92297469838705481</v>
      </c>
      <c r="N172" s="28" t="str">
        <f>YEAR(Table63[[#This Row],[Order Date]])&amp;"-"&amp;TEXT(Table63[[#This Row],[Order Date]],"mm")</f>
        <v>2023-06</v>
      </c>
      <c r="O172" s="22">
        <f>IF(Table63[[#This Row],[Unit sold Filled]]=0,0,Table63[[#This Row],[Total Revenue]]/Table63[[#This Row],[Unit sold Filled]])</f>
        <v>383.77</v>
      </c>
    </row>
    <row r="173" spans="1:15" ht="15" thickBot="1" x14ac:dyDescent="0.35">
      <c r="A173" s="1" t="s">
        <v>200</v>
      </c>
      <c r="B173" s="3" t="s">
        <v>22</v>
      </c>
      <c r="C173" s="1" t="s">
        <v>18</v>
      </c>
      <c r="D173" t="s">
        <v>19</v>
      </c>
      <c r="E173" s="1" t="s">
        <v>14</v>
      </c>
      <c r="F173" s="1" t="s">
        <v>20</v>
      </c>
      <c r="G173" s="2">
        <v>45098</v>
      </c>
      <c r="H173" s="24">
        <v>235</v>
      </c>
      <c r="I173" s="23">
        <v>463.21</v>
      </c>
      <c r="J173" s="3">
        <v>384.01</v>
      </c>
      <c r="K173">
        <v>108854.34999999999</v>
      </c>
      <c r="L173" s="22">
        <f>(Table63[[#This Row],[Unit sold Filled]]*Table63[[#This Row],[Unit Price Filled]])-(Table63[[#This Row],[Unit sold Filled]]*Table63[[#This Row],[Unit Cost]])</f>
        <v>18612</v>
      </c>
      <c r="M173" s="27">
        <f>IF(Table63[[#This Row],[Total Revenue]]=0,0,Table63[[#This Row],[Profit]]/Table63[[#This Row],[Total Revenue]])</f>
        <v>0.17098076466397533</v>
      </c>
      <c r="N173" s="28" t="str">
        <f>YEAR(Table63[[#This Row],[Order Date]])&amp;"-"&amp;TEXT(Table63[[#This Row],[Order Date]],"mm")</f>
        <v>2023-06</v>
      </c>
      <c r="O173" s="22">
        <f>IF(Table63[[#This Row],[Unit sold Filled]]=0,0,Table63[[#This Row],[Total Revenue]]/Table63[[#This Row],[Unit sold Filled]])</f>
        <v>463.21</v>
      </c>
    </row>
    <row r="174" spans="1:15" ht="15" thickBot="1" x14ac:dyDescent="0.35">
      <c r="A174" s="15" t="s">
        <v>201</v>
      </c>
      <c r="B174" s="17" t="s">
        <v>11</v>
      </c>
      <c r="C174" s="15" t="s">
        <v>26</v>
      </c>
      <c r="D174" t="s">
        <v>13</v>
      </c>
      <c r="E174" s="15" t="s">
        <v>14</v>
      </c>
      <c r="F174" s="15" t="s">
        <v>28</v>
      </c>
      <c r="G174" s="18">
        <v>45099</v>
      </c>
      <c r="H174" s="24">
        <v>294</v>
      </c>
      <c r="I174" s="23">
        <v>221.9</v>
      </c>
      <c r="J174" s="17">
        <v>192.35</v>
      </c>
      <c r="K174">
        <v>65238.6</v>
      </c>
      <c r="L174" s="22">
        <f>(Table63[[#This Row],[Unit sold Filled]]*Table63[[#This Row],[Unit Price Filled]])-(Table63[[#This Row],[Unit sold Filled]]*Table63[[#This Row],[Unit Cost]])</f>
        <v>8687.6999999999971</v>
      </c>
      <c r="M174" s="27">
        <f>IF(Table63[[#This Row],[Total Revenue]]=0,0,Table63[[#This Row],[Profit]]/Table63[[#This Row],[Total Revenue]])</f>
        <v>0.13316809373591704</v>
      </c>
      <c r="N174" s="28" t="str">
        <f>YEAR(Table63[[#This Row],[Order Date]])&amp;"-"&amp;TEXT(Table63[[#This Row],[Order Date]],"mm")</f>
        <v>2023-06</v>
      </c>
      <c r="O174" s="22">
        <f>IF(Table63[[#This Row],[Unit sold Filled]]=0,0,Table63[[#This Row],[Total Revenue]]/Table63[[#This Row],[Unit sold Filled]])</f>
        <v>221.9</v>
      </c>
    </row>
    <row r="175" spans="1:15" ht="15" thickBot="1" x14ac:dyDescent="0.35">
      <c r="A175" s="1" t="s">
        <v>202</v>
      </c>
      <c r="B175" s="3" t="s">
        <v>17</v>
      </c>
      <c r="C175" s="1" t="s">
        <v>18</v>
      </c>
      <c r="D175" t="s">
        <v>27</v>
      </c>
      <c r="E175" s="1" t="s">
        <v>14</v>
      </c>
      <c r="F175" s="1" t="s">
        <v>15</v>
      </c>
      <c r="G175" s="2">
        <v>45100</v>
      </c>
      <c r="H175" s="24">
        <v>13</v>
      </c>
      <c r="I175" s="23">
        <v>451.18</v>
      </c>
      <c r="J175" s="3">
        <v>358.53</v>
      </c>
      <c r="K175">
        <v>5865.34</v>
      </c>
      <c r="L175" s="22">
        <f>(Table63[[#This Row],[Unit sold Filled]]*Table63[[#This Row],[Unit Price Filled]])-(Table63[[#This Row],[Unit sold Filled]]*Table63[[#This Row],[Unit Cost]])</f>
        <v>1204.4500000000007</v>
      </c>
      <c r="M175" s="27">
        <f>IF(Table63[[#This Row],[Total Revenue]]=0,0,Table63[[#This Row],[Profit]]/Table63[[#This Row],[Total Revenue]])</f>
        <v>0.20535041446872657</v>
      </c>
      <c r="N175" s="28" t="str">
        <f>YEAR(Table63[[#This Row],[Order Date]])&amp;"-"&amp;TEXT(Table63[[#This Row],[Order Date]],"mm")</f>
        <v>2023-06</v>
      </c>
      <c r="O175" s="22">
        <f>IF(Table63[[#This Row],[Unit sold Filled]]=0,0,Table63[[#This Row],[Total Revenue]]/Table63[[#This Row],[Unit sold Filled]])</f>
        <v>451.18</v>
      </c>
    </row>
    <row r="176" spans="1:15" ht="15" thickBot="1" x14ac:dyDescent="0.35">
      <c r="A176" s="15" t="s">
        <v>203</v>
      </c>
      <c r="B176" s="17" t="s">
        <v>17</v>
      </c>
      <c r="C176" s="15" t="s">
        <v>50</v>
      </c>
      <c r="D176" t="s">
        <v>13</v>
      </c>
      <c r="E176" s="15" t="s">
        <v>14</v>
      </c>
      <c r="F176" s="15" t="s">
        <v>15</v>
      </c>
      <c r="G176" s="18">
        <v>45101</v>
      </c>
      <c r="H176" s="24">
        <v>474</v>
      </c>
      <c r="I176" s="23">
        <v>439.56</v>
      </c>
      <c r="J176" s="17">
        <v>130.24</v>
      </c>
      <c r="K176">
        <v>208351.44</v>
      </c>
      <c r="L176" s="22">
        <f>(Table63[[#This Row],[Unit sold Filled]]*Table63[[#This Row],[Unit Price Filled]])-(Table63[[#This Row],[Unit sold Filled]]*Table63[[#This Row],[Unit Cost]])</f>
        <v>146617.68</v>
      </c>
      <c r="M176" s="27">
        <f>IF(Table63[[#This Row],[Total Revenue]]=0,0,Table63[[#This Row],[Profit]]/Table63[[#This Row],[Total Revenue]])</f>
        <v>0.70370370370370361</v>
      </c>
      <c r="N176" s="28" t="str">
        <f>YEAR(Table63[[#This Row],[Order Date]])&amp;"-"&amp;TEXT(Table63[[#This Row],[Order Date]],"mm")</f>
        <v>2023-06</v>
      </c>
      <c r="O176" s="22">
        <f>IF(Table63[[#This Row],[Unit sold Filled]]=0,0,Table63[[#This Row],[Total Revenue]]/Table63[[#This Row],[Unit sold Filled]])</f>
        <v>439.56</v>
      </c>
    </row>
    <row r="177" spans="1:15" ht="15" thickBot="1" x14ac:dyDescent="0.35">
      <c r="A177" s="1" t="s">
        <v>204</v>
      </c>
      <c r="B177" s="3" t="s">
        <v>48</v>
      </c>
      <c r="C177" s="1" t="s">
        <v>50</v>
      </c>
      <c r="D177" t="s">
        <v>27</v>
      </c>
      <c r="E177" s="1" t="s">
        <v>24</v>
      </c>
      <c r="F177" s="1" t="s">
        <v>28</v>
      </c>
      <c r="G177" s="2">
        <v>45102</v>
      </c>
      <c r="H177" s="24">
        <v>108</v>
      </c>
      <c r="I177" s="23">
        <v>162.01</v>
      </c>
      <c r="J177" s="3">
        <v>51.84</v>
      </c>
      <c r="K177">
        <v>17497.079999999998</v>
      </c>
      <c r="L177" s="22">
        <f>(Table63[[#This Row],[Unit sold Filled]]*Table63[[#This Row],[Unit Price Filled]])-(Table63[[#This Row],[Unit sold Filled]]*Table63[[#This Row],[Unit Cost]])</f>
        <v>11898.359999999997</v>
      </c>
      <c r="M177" s="27">
        <f>IF(Table63[[#This Row],[Total Revenue]]=0,0,Table63[[#This Row],[Profit]]/Table63[[#This Row],[Total Revenue]])</f>
        <v>0.68001975186716856</v>
      </c>
      <c r="N177" s="28" t="str">
        <f>YEAR(Table63[[#This Row],[Order Date]])&amp;"-"&amp;TEXT(Table63[[#This Row],[Order Date]],"mm")</f>
        <v>2023-06</v>
      </c>
      <c r="O177" s="22">
        <f>IF(Table63[[#This Row],[Unit sold Filled]]=0,0,Table63[[#This Row],[Total Revenue]]/Table63[[#This Row],[Unit sold Filled]])</f>
        <v>162.01</v>
      </c>
    </row>
    <row r="178" spans="1:15" ht="15" thickBot="1" x14ac:dyDescent="0.35">
      <c r="A178" s="15" t="s">
        <v>205</v>
      </c>
      <c r="B178" s="17" t="s">
        <v>11</v>
      </c>
      <c r="C178" s="15" t="s">
        <v>18</v>
      </c>
      <c r="D178" t="s">
        <v>13</v>
      </c>
      <c r="E178" s="15" t="s">
        <v>14</v>
      </c>
      <c r="F178" s="15" t="s">
        <v>20</v>
      </c>
      <c r="G178" s="18">
        <v>45103</v>
      </c>
      <c r="H178" s="24">
        <v>406</v>
      </c>
      <c r="I178" s="23">
        <v>435.11</v>
      </c>
      <c r="J178" s="17">
        <v>190.79</v>
      </c>
      <c r="K178">
        <v>176654.66</v>
      </c>
      <c r="L178" s="22">
        <f>(Table63[[#This Row],[Unit sold Filled]]*Table63[[#This Row],[Unit Price Filled]])-(Table63[[#This Row],[Unit sold Filled]]*Table63[[#This Row],[Unit Cost]])</f>
        <v>99193.920000000013</v>
      </c>
      <c r="M178" s="27">
        <f>IF(Table63[[#This Row],[Total Revenue]]=0,0,Table63[[#This Row],[Profit]]/Table63[[#This Row],[Total Revenue]])</f>
        <v>0.56151318057502708</v>
      </c>
      <c r="N178" s="28" t="str">
        <f>YEAR(Table63[[#This Row],[Order Date]])&amp;"-"&amp;TEXT(Table63[[#This Row],[Order Date]],"mm")</f>
        <v>2023-06</v>
      </c>
      <c r="O178" s="22">
        <f>IF(Table63[[#This Row],[Unit sold Filled]]=0,0,Table63[[#This Row],[Total Revenue]]/Table63[[#This Row],[Unit sold Filled]])</f>
        <v>435.11</v>
      </c>
    </row>
    <row r="179" spans="1:15" ht="15" thickBot="1" x14ac:dyDescent="0.35">
      <c r="A179" s="1" t="s">
        <v>206</v>
      </c>
      <c r="B179" s="3" t="s">
        <v>11</v>
      </c>
      <c r="C179" s="1" t="s">
        <v>50</v>
      </c>
      <c r="D179" t="s">
        <v>23</v>
      </c>
      <c r="E179" s="1" t="s">
        <v>14</v>
      </c>
      <c r="F179" s="1" t="s">
        <v>28</v>
      </c>
      <c r="G179" s="2">
        <v>45104</v>
      </c>
      <c r="H179" s="24">
        <v>498</v>
      </c>
      <c r="I179" s="23">
        <v>190.96</v>
      </c>
      <c r="J179" s="3">
        <v>47.35</v>
      </c>
      <c r="K179">
        <v>95098.08</v>
      </c>
      <c r="L179" s="22">
        <f>(Table63[[#This Row],[Unit sold Filled]]*Table63[[#This Row],[Unit Price Filled]])-(Table63[[#This Row],[Unit sold Filled]]*Table63[[#This Row],[Unit Cost]])</f>
        <v>71517.78</v>
      </c>
      <c r="M179" s="27">
        <f>IF(Table63[[#This Row],[Total Revenue]]=0,0,Table63[[#This Row],[Profit]]/Table63[[#This Row],[Total Revenue]])</f>
        <v>0.75204231252618348</v>
      </c>
      <c r="N179" s="28" t="str">
        <f>YEAR(Table63[[#This Row],[Order Date]])&amp;"-"&amp;TEXT(Table63[[#This Row],[Order Date]],"mm")</f>
        <v>2023-06</v>
      </c>
      <c r="O179" s="22">
        <f>IF(Table63[[#This Row],[Unit sold Filled]]=0,0,Table63[[#This Row],[Total Revenue]]/Table63[[#This Row],[Unit sold Filled]])</f>
        <v>190.96</v>
      </c>
    </row>
    <row r="180" spans="1:15" ht="15" thickBot="1" x14ac:dyDescent="0.35">
      <c r="A180" s="15" t="s">
        <v>207</v>
      </c>
      <c r="B180" s="17" t="s">
        <v>22</v>
      </c>
      <c r="C180" s="15" t="s">
        <v>50</v>
      </c>
      <c r="D180" t="s">
        <v>23</v>
      </c>
      <c r="E180" s="15" t="s">
        <v>24</v>
      </c>
      <c r="F180" s="15" t="s">
        <v>20</v>
      </c>
      <c r="G180" s="18">
        <v>45105</v>
      </c>
      <c r="H180" s="24">
        <v>48</v>
      </c>
      <c r="I180" s="23">
        <v>151.94999999999999</v>
      </c>
      <c r="J180" s="17">
        <v>195.43</v>
      </c>
      <c r="K180">
        <v>7293.5999999999995</v>
      </c>
      <c r="L180" s="22">
        <f>(Table63[[#This Row],[Unit sold Filled]]*Table63[[#This Row],[Unit Price Filled]])-(Table63[[#This Row],[Unit sold Filled]]*Table63[[#This Row],[Unit Cost]])</f>
        <v>-2087.04</v>
      </c>
      <c r="M180" s="27">
        <f>IF(Table63[[#This Row],[Total Revenue]]=0,0,Table63[[#This Row],[Profit]]/Table63[[#This Row],[Total Revenue]])</f>
        <v>-0.28614675880223761</v>
      </c>
      <c r="N180" s="28" t="str">
        <f>YEAR(Table63[[#This Row],[Order Date]])&amp;"-"&amp;TEXT(Table63[[#This Row],[Order Date]],"mm")</f>
        <v>2023-06</v>
      </c>
      <c r="O180" s="22">
        <f>IF(Table63[[#This Row],[Unit sold Filled]]=0,0,Table63[[#This Row],[Total Revenue]]/Table63[[#This Row],[Unit sold Filled]])</f>
        <v>151.94999999999999</v>
      </c>
    </row>
    <row r="181" spans="1:15" ht="15" thickBot="1" x14ac:dyDescent="0.35">
      <c r="A181" s="1" t="s">
        <v>208</v>
      </c>
      <c r="B181" s="3" t="s">
        <v>11</v>
      </c>
      <c r="C181" s="1" t="s">
        <v>50</v>
      </c>
      <c r="D181" t="s">
        <v>23</v>
      </c>
      <c r="E181" s="1" t="s">
        <v>14</v>
      </c>
      <c r="F181" s="1" t="s">
        <v>15</v>
      </c>
      <c r="G181" s="2">
        <v>45106</v>
      </c>
      <c r="H181" s="24">
        <v>280</v>
      </c>
      <c r="I181" s="23">
        <v>326.29000000000002</v>
      </c>
      <c r="J181" s="3">
        <v>368.28</v>
      </c>
      <c r="K181">
        <v>91361.200000000012</v>
      </c>
      <c r="L181" s="22">
        <f>(Table63[[#This Row],[Unit sold Filled]]*Table63[[#This Row],[Unit Price Filled]])-(Table63[[#This Row],[Unit sold Filled]]*Table63[[#This Row],[Unit Cost]])</f>
        <v>-11757.199999999983</v>
      </c>
      <c r="M181" s="27">
        <f>IF(Table63[[#This Row],[Total Revenue]]=0,0,Table63[[#This Row],[Profit]]/Table63[[#This Row],[Total Revenue]])</f>
        <v>-0.12868920285635457</v>
      </c>
      <c r="N181" s="28" t="str">
        <f>YEAR(Table63[[#This Row],[Order Date]])&amp;"-"&amp;TEXT(Table63[[#This Row],[Order Date]],"mm")</f>
        <v>2023-06</v>
      </c>
      <c r="O181" s="22">
        <f>IF(Table63[[#This Row],[Unit sold Filled]]=0,0,Table63[[#This Row],[Total Revenue]]/Table63[[#This Row],[Unit sold Filled]])</f>
        <v>326.29000000000002</v>
      </c>
    </row>
    <row r="182" spans="1:15" ht="15" thickBot="1" x14ac:dyDescent="0.35">
      <c r="A182" s="15" t="s">
        <v>209</v>
      </c>
      <c r="B182" s="17" t="s">
        <v>22</v>
      </c>
      <c r="C182" s="15" t="s">
        <v>31</v>
      </c>
      <c r="D182" t="s">
        <v>23</v>
      </c>
      <c r="E182" s="15" t="s">
        <v>14</v>
      </c>
      <c r="F182" s="15" t="s">
        <v>20</v>
      </c>
      <c r="G182" s="18">
        <v>45107</v>
      </c>
      <c r="H182" s="24">
        <v>384</v>
      </c>
      <c r="I182" s="23">
        <v>167.55</v>
      </c>
      <c r="J182" s="17">
        <v>209.27</v>
      </c>
      <c r="K182">
        <v>64339.200000000004</v>
      </c>
      <c r="L182" s="22">
        <f>(Table63[[#This Row],[Unit sold Filled]]*Table63[[#This Row],[Unit Price Filled]])-(Table63[[#This Row],[Unit sold Filled]]*Table63[[#This Row],[Unit Cost]])</f>
        <v>-16020.480000000003</v>
      </c>
      <c r="M182" s="27">
        <f>IF(Table63[[#This Row],[Total Revenue]]=0,0,Table63[[#This Row],[Profit]]/Table63[[#This Row],[Total Revenue]])</f>
        <v>-0.24900029841838262</v>
      </c>
      <c r="N182" s="28" t="str">
        <f>YEAR(Table63[[#This Row],[Order Date]])&amp;"-"&amp;TEXT(Table63[[#This Row],[Order Date]],"mm")</f>
        <v>2023-06</v>
      </c>
      <c r="O182" s="22">
        <f>IF(Table63[[#This Row],[Unit sold Filled]]=0,0,Table63[[#This Row],[Total Revenue]]/Table63[[#This Row],[Unit sold Filled]])</f>
        <v>167.55</v>
      </c>
    </row>
    <row r="183" spans="1:15" ht="15" thickBot="1" x14ac:dyDescent="0.35">
      <c r="A183" s="1" t="s">
        <v>210</v>
      </c>
      <c r="B183" s="3" t="s">
        <v>11</v>
      </c>
      <c r="C183" s="1" t="s">
        <v>12</v>
      </c>
      <c r="D183" t="s">
        <v>42</v>
      </c>
      <c r="E183" s="1" t="s">
        <v>14</v>
      </c>
      <c r="F183" s="1" t="s">
        <v>28</v>
      </c>
      <c r="G183" s="2">
        <v>45108</v>
      </c>
      <c r="H183" s="24">
        <v>294</v>
      </c>
      <c r="I183" s="23">
        <v>316.95</v>
      </c>
      <c r="J183" s="3">
        <v>247.37</v>
      </c>
      <c r="K183">
        <v>93183.3</v>
      </c>
      <c r="L183" s="22">
        <f>(Table63[[#This Row],[Unit sold Filled]]*Table63[[#This Row],[Unit Price Filled]])-(Table63[[#This Row],[Unit sold Filled]]*Table63[[#This Row],[Unit Cost]])</f>
        <v>20456.520000000004</v>
      </c>
      <c r="M183" s="27">
        <f>IF(Table63[[#This Row],[Total Revenue]]=0,0,Table63[[#This Row],[Profit]]/Table63[[#This Row],[Total Revenue]])</f>
        <v>0.21952989430509548</v>
      </c>
      <c r="N183" s="28" t="str">
        <f>YEAR(Table63[[#This Row],[Order Date]])&amp;"-"&amp;TEXT(Table63[[#This Row],[Order Date]],"mm")</f>
        <v>2023-07</v>
      </c>
      <c r="O183" s="22">
        <f>IF(Table63[[#This Row],[Unit sold Filled]]=0,0,Table63[[#This Row],[Total Revenue]]/Table63[[#This Row],[Unit sold Filled]])</f>
        <v>316.95</v>
      </c>
    </row>
    <row r="184" spans="1:15" ht="15" thickBot="1" x14ac:dyDescent="0.35">
      <c r="A184" s="15" t="s">
        <v>211</v>
      </c>
      <c r="B184" s="17" t="s">
        <v>48</v>
      </c>
      <c r="C184" s="15" t="s">
        <v>26</v>
      </c>
      <c r="D184" t="s">
        <v>23</v>
      </c>
      <c r="E184" s="15" t="s">
        <v>14</v>
      </c>
      <c r="F184" s="15" t="s">
        <v>15</v>
      </c>
      <c r="G184" s="18">
        <v>45109</v>
      </c>
      <c r="H184" s="24">
        <v>166</v>
      </c>
      <c r="I184" s="23">
        <v>306.87</v>
      </c>
      <c r="J184" s="17">
        <v>64.34</v>
      </c>
      <c r="K184">
        <v>50940.42</v>
      </c>
      <c r="L184" s="22">
        <f>(Table63[[#This Row],[Unit sold Filled]]*Table63[[#This Row],[Unit Price Filled]])-(Table63[[#This Row],[Unit sold Filled]]*Table63[[#This Row],[Unit Cost]])</f>
        <v>40259.979999999996</v>
      </c>
      <c r="M184" s="27">
        <f>IF(Table63[[#This Row],[Total Revenue]]=0,0,Table63[[#This Row],[Profit]]/Table63[[#This Row],[Total Revenue]])</f>
        <v>0.79033466940398212</v>
      </c>
      <c r="N184" s="28" t="str">
        <f>YEAR(Table63[[#This Row],[Order Date]])&amp;"-"&amp;TEXT(Table63[[#This Row],[Order Date]],"mm")</f>
        <v>2023-07</v>
      </c>
      <c r="O184" s="22">
        <f>IF(Table63[[#This Row],[Unit sold Filled]]=0,0,Table63[[#This Row],[Total Revenue]]/Table63[[#This Row],[Unit sold Filled]])</f>
        <v>306.87</v>
      </c>
    </row>
    <row r="185" spans="1:15" ht="15" thickBot="1" x14ac:dyDescent="0.35">
      <c r="A185" s="1" t="s">
        <v>212</v>
      </c>
      <c r="B185" s="3" t="s">
        <v>11</v>
      </c>
      <c r="C185" s="1" t="s">
        <v>31</v>
      </c>
      <c r="D185" t="s">
        <v>19</v>
      </c>
      <c r="E185" s="1" t="s">
        <v>14</v>
      </c>
      <c r="F185" s="1" t="s">
        <v>28</v>
      </c>
      <c r="G185" s="2">
        <v>45110</v>
      </c>
      <c r="H185" s="24">
        <v>84</v>
      </c>
      <c r="I185" s="23">
        <v>283.89999999999998</v>
      </c>
      <c r="J185" s="3">
        <v>19.41</v>
      </c>
      <c r="K185">
        <v>23847.599999999999</v>
      </c>
      <c r="L185" s="22">
        <f>(Table63[[#This Row],[Unit sold Filled]]*Table63[[#This Row],[Unit Price Filled]])-(Table63[[#This Row],[Unit sold Filled]]*Table63[[#This Row],[Unit Cost]])</f>
        <v>22217.16</v>
      </c>
      <c r="M185" s="27">
        <f>IF(Table63[[#This Row],[Total Revenue]]=0,0,Table63[[#This Row],[Profit]]/Table63[[#This Row],[Total Revenue]])</f>
        <v>0.93163085593518846</v>
      </c>
      <c r="N185" s="28" t="str">
        <f>YEAR(Table63[[#This Row],[Order Date]])&amp;"-"&amp;TEXT(Table63[[#This Row],[Order Date]],"mm")</f>
        <v>2023-07</v>
      </c>
      <c r="O185" s="22">
        <f>IF(Table63[[#This Row],[Unit sold Filled]]=0,0,Table63[[#This Row],[Total Revenue]]/Table63[[#This Row],[Unit sold Filled]])</f>
        <v>283.89999999999998</v>
      </c>
    </row>
    <row r="186" spans="1:15" ht="15" thickBot="1" x14ac:dyDescent="0.35">
      <c r="A186" s="15" t="s">
        <v>213</v>
      </c>
      <c r="B186" s="17" t="s">
        <v>22</v>
      </c>
      <c r="C186" s="15" t="s">
        <v>50</v>
      </c>
      <c r="D186" t="s">
        <v>19</v>
      </c>
      <c r="E186" s="15" t="s">
        <v>14</v>
      </c>
      <c r="F186" s="15" t="s">
        <v>28</v>
      </c>
      <c r="G186" s="18">
        <v>45111</v>
      </c>
      <c r="H186" s="24">
        <v>381</v>
      </c>
      <c r="I186" s="23">
        <v>193.31</v>
      </c>
      <c r="J186" s="17">
        <v>46.1</v>
      </c>
      <c r="K186">
        <v>73651.11</v>
      </c>
      <c r="L186" s="22">
        <f>(Table63[[#This Row],[Unit sold Filled]]*Table63[[#This Row],[Unit Price Filled]])-(Table63[[#This Row],[Unit sold Filled]]*Table63[[#This Row],[Unit Cost]])</f>
        <v>56087.009999999995</v>
      </c>
      <c r="M186" s="27">
        <f>IF(Table63[[#This Row],[Total Revenue]]=0,0,Table63[[#This Row],[Profit]]/Table63[[#This Row],[Total Revenue]])</f>
        <v>0.76152294242408558</v>
      </c>
      <c r="N186" s="28" t="str">
        <f>YEAR(Table63[[#This Row],[Order Date]])&amp;"-"&amp;TEXT(Table63[[#This Row],[Order Date]],"mm")</f>
        <v>2023-07</v>
      </c>
      <c r="O186" s="22">
        <f>IF(Table63[[#This Row],[Unit sold Filled]]=0,0,Table63[[#This Row],[Total Revenue]]/Table63[[#This Row],[Unit sold Filled]])</f>
        <v>193.31</v>
      </c>
    </row>
    <row r="187" spans="1:15" ht="15" thickBot="1" x14ac:dyDescent="0.35">
      <c r="A187" s="1" t="s">
        <v>214</v>
      </c>
      <c r="B187" s="3" t="s">
        <v>22</v>
      </c>
      <c r="C187" s="1" t="s">
        <v>18</v>
      </c>
      <c r="D187" t="s">
        <v>42</v>
      </c>
      <c r="E187" s="1" t="s">
        <v>24</v>
      </c>
      <c r="F187" s="1" t="s">
        <v>20</v>
      </c>
      <c r="G187" s="2">
        <v>45112</v>
      </c>
      <c r="H187" s="24">
        <v>297</v>
      </c>
      <c r="I187" s="23">
        <v>276.51</v>
      </c>
      <c r="J187" s="3">
        <v>240.22</v>
      </c>
      <c r="K187">
        <v>82123.47</v>
      </c>
      <c r="L187" s="22">
        <f>(Table63[[#This Row],[Unit sold Filled]]*Table63[[#This Row],[Unit Price Filled]])-(Table63[[#This Row],[Unit sold Filled]]*Table63[[#This Row],[Unit Cost]])</f>
        <v>10778.130000000005</v>
      </c>
      <c r="M187" s="27">
        <f>IF(Table63[[#This Row],[Total Revenue]]=0,0,Table63[[#This Row],[Profit]]/Table63[[#This Row],[Total Revenue]])</f>
        <v>0.131242993020144</v>
      </c>
      <c r="N187" s="28" t="str">
        <f>YEAR(Table63[[#This Row],[Order Date]])&amp;"-"&amp;TEXT(Table63[[#This Row],[Order Date]],"mm")</f>
        <v>2023-07</v>
      </c>
      <c r="O187" s="22">
        <f>IF(Table63[[#This Row],[Unit sold Filled]]=0,0,Table63[[#This Row],[Total Revenue]]/Table63[[#This Row],[Unit sold Filled]])</f>
        <v>276.51</v>
      </c>
    </row>
    <row r="188" spans="1:15" ht="15" thickBot="1" x14ac:dyDescent="0.35">
      <c r="A188" s="15" t="s">
        <v>215</v>
      </c>
      <c r="B188" s="17" t="s">
        <v>48</v>
      </c>
      <c r="C188" s="15" t="s">
        <v>50</v>
      </c>
      <c r="D188" t="s">
        <v>23</v>
      </c>
      <c r="E188" s="15" t="s">
        <v>24</v>
      </c>
      <c r="F188" s="15" t="s">
        <v>28</v>
      </c>
      <c r="G188" s="18">
        <v>45113</v>
      </c>
      <c r="H188" s="24">
        <v>139</v>
      </c>
      <c r="I188" s="23">
        <v>300.26</v>
      </c>
      <c r="J188" s="17">
        <v>39.81</v>
      </c>
      <c r="K188">
        <v>41736.14</v>
      </c>
      <c r="L188" s="22">
        <f>(Table63[[#This Row],[Unit sold Filled]]*Table63[[#This Row],[Unit Price Filled]])-(Table63[[#This Row],[Unit sold Filled]]*Table63[[#This Row],[Unit Cost]])</f>
        <v>36202.550000000003</v>
      </c>
      <c r="M188" s="27">
        <f>IF(Table63[[#This Row],[Total Revenue]]=0,0,Table63[[#This Row],[Profit]]/Table63[[#This Row],[Total Revenue]])</f>
        <v>0.86741490708053026</v>
      </c>
      <c r="N188" s="28" t="str">
        <f>YEAR(Table63[[#This Row],[Order Date]])&amp;"-"&amp;TEXT(Table63[[#This Row],[Order Date]],"mm")</f>
        <v>2023-07</v>
      </c>
      <c r="O188" s="22">
        <f>IF(Table63[[#This Row],[Unit sold Filled]]=0,0,Table63[[#This Row],[Total Revenue]]/Table63[[#This Row],[Unit sold Filled]])</f>
        <v>300.26</v>
      </c>
    </row>
    <row r="189" spans="1:15" ht="15" thickBot="1" x14ac:dyDescent="0.35">
      <c r="A189" s="1" t="s">
        <v>216</v>
      </c>
      <c r="B189" s="3" t="s">
        <v>11</v>
      </c>
      <c r="C189" s="1" t="s">
        <v>12</v>
      </c>
      <c r="D189" t="s">
        <v>23</v>
      </c>
      <c r="E189" s="1" t="s">
        <v>14</v>
      </c>
      <c r="F189" s="1" t="s">
        <v>20</v>
      </c>
      <c r="G189" s="2">
        <v>45114</v>
      </c>
      <c r="H189" s="24">
        <v>184</v>
      </c>
      <c r="I189" s="23">
        <v>275.12</v>
      </c>
      <c r="J189" s="3">
        <v>151.65</v>
      </c>
      <c r="K189">
        <v>50622.080000000002</v>
      </c>
      <c r="L189" s="22">
        <f>(Table63[[#This Row],[Unit sold Filled]]*Table63[[#This Row],[Unit Price Filled]])-(Table63[[#This Row],[Unit sold Filled]]*Table63[[#This Row],[Unit Cost]])</f>
        <v>22718.48</v>
      </c>
      <c r="M189" s="27">
        <f>IF(Table63[[#This Row],[Total Revenue]]=0,0,Table63[[#This Row],[Profit]]/Table63[[#This Row],[Total Revenue]])</f>
        <v>0.44878598429776095</v>
      </c>
      <c r="N189" s="28" t="str">
        <f>YEAR(Table63[[#This Row],[Order Date]])&amp;"-"&amp;TEXT(Table63[[#This Row],[Order Date]],"mm")</f>
        <v>2023-07</v>
      </c>
      <c r="O189" s="22">
        <f>IF(Table63[[#This Row],[Unit sold Filled]]=0,0,Table63[[#This Row],[Total Revenue]]/Table63[[#This Row],[Unit sold Filled]])</f>
        <v>275.12</v>
      </c>
    </row>
    <row r="190" spans="1:15" ht="15" thickBot="1" x14ac:dyDescent="0.35">
      <c r="A190" s="15" t="s">
        <v>217</v>
      </c>
      <c r="B190" s="17" t="s">
        <v>11</v>
      </c>
      <c r="C190" s="15" t="s">
        <v>50</v>
      </c>
      <c r="D190" t="s">
        <v>23</v>
      </c>
      <c r="E190" s="15" t="s">
        <v>14</v>
      </c>
      <c r="F190" s="15" t="s">
        <v>15</v>
      </c>
      <c r="G190" s="18">
        <v>45115</v>
      </c>
      <c r="H190" s="24">
        <v>471</v>
      </c>
      <c r="I190" s="23">
        <v>224.99</v>
      </c>
      <c r="J190" s="17">
        <v>220.94</v>
      </c>
      <c r="K190">
        <v>105970.29000000001</v>
      </c>
      <c r="L190" s="22">
        <f>(Table63[[#This Row],[Unit sold Filled]]*Table63[[#This Row],[Unit Price Filled]])-(Table63[[#This Row],[Unit sold Filled]]*Table63[[#This Row],[Unit Cost]])</f>
        <v>1907.5500000000029</v>
      </c>
      <c r="M190" s="27">
        <f>IF(Table63[[#This Row],[Total Revenue]]=0,0,Table63[[#This Row],[Profit]]/Table63[[#This Row],[Total Revenue]])</f>
        <v>1.8000800035557162E-2</v>
      </c>
      <c r="N190" s="28" t="str">
        <f>YEAR(Table63[[#This Row],[Order Date]])&amp;"-"&amp;TEXT(Table63[[#This Row],[Order Date]],"mm")</f>
        <v>2023-07</v>
      </c>
      <c r="O190" s="22">
        <f>IF(Table63[[#This Row],[Unit sold Filled]]=0,0,Table63[[#This Row],[Total Revenue]]/Table63[[#This Row],[Unit sold Filled]])</f>
        <v>224.99</v>
      </c>
    </row>
    <row r="191" spans="1:15" ht="15" thickBot="1" x14ac:dyDescent="0.35">
      <c r="A191" s="1" t="s">
        <v>218</v>
      </c>
      <c r="B191" s="3" t="s">
        <v>48</v>
      </c>
      <c r="C191" s="1" t="s">
        <v>18</v>
      </c>
      <c r="D191" t="s">
        <v>13</v>
      </c>
      <c r="E191" s="1" t="s">
        <v>24</v>
      </c>
      <c r="F191" s="1" t="s">
        <v>20</v>
      </c>
      <c r="G191" s="2">
        <v>45116</v>
      </c>
      <c r="H191" s="24">
        <v>93</v>
      </c>
      <c r="I191" s="23">
        <v>12.26</v>
      </c>
      <c r="J191" s="3">
        <v>156.68</v>
      </c>
      <c r="K191">
        <v>1140.18</v>
      </c>
      <c r="L191" s="22">
        <f>(Table63[[#This Row],[Unit sold Filled]]*Table63[[#This Row],[Unit Price Filled]])-(Table63[[#This Row],[Unit sold Filled]]*Table63[[#This Row],[Unit Cost]])</f>
        <v>-13431.06</v>
      </c>
      <c r="M191" s="27">
        <f>IF(Table63[[#This Row],[Total Revenue]]=0,0,Table63[[#This Row],[Profit]]/Table63[[#This Row],[Total Revenue]])</f>
        <v>-11.779771615008155</v>
      </c>
      <c r="N191" s="28" t="str">
        <f>YEAR(Table63[[#This Row],[Order Date]])&amp;"-"&amp;TEXT(Table63[[#This Row],[Order Date]],"mm")</f>
        <v>2023-07</v>
      </c>
      <c r="O191" s="22">
        <f>IF(Table63[[#This Row],[Unit sold Filled]]=0,0,Table63[[#This Row],[Total Revenue]]/Table63[[#This Row],[Unit sold Filled]])</f>
        <v>12.260000000000002</v>
      </c>
    </row>
    <row r="192" spans="1:15" ht="15" thickBot="1" x14ac:dyDescent="0.35">
      <c r="A192" s="15" t="s">
        <v>219</v>
      </c>
      <c r="B192" s="17" t="s">
        <v>11</v>
      </c>
      <c r="C192" s="15" t="s">
        <v>12</v>
      </c>
      <c r="D192" t="s">
        <v>27</v>
      </c>
      <c r="E192" s="15" t="s">
        <v>14</v>
      </c>
      <c r="F192" s="15" t="s">
        <v>15</v>
      </c>
      <c r="G192" s="18">
        <v>45117</v>
      </c>
      <c r="H192" s="24">
        <v>31</v>
      </c>
      <c r="I192" s="23">
        <v>295.60000000000002</v>
      </c>
      <c r="J192" s="17">
        <v>67.150000000000006</v>
      </c>
      <c r="K192">
        <v>9163.6</v>
      </c>
      <c r="L192" s="22">
        <f>(Table63[[#This Row],[Unit sold Filled]]*Table63[[#This Row],[Unit Price Filled]])-(Table63[[#This Row],[Unit sold Filled]]*Table63[[#This Row],[Unit Cost]])</f>
        <v>7081.9500000000007</v>
      </c>
      <c r="M192" s="27">
        <f>IF(Table63[[#This Row],[Total Revenue]]=0,0,Table63[[#This Row],[Profit]]/Table63[[#This Row],[Total Revenue]])</f>
        <v>0.77283491204330179</v>
      </c>
      <c r="N192" s="28" t="str">
        <f>YEAR(Table63[[#This Row],[Order Date]])&amp;"-"&amp;TEXT(Table63[[#This Row],[Order Date]],"mm")</f>
        <v>2023-07</v>
      </c>
      <c r="O192" s="22">
        <f>IF(Table63[[#This Row],[Unit sold Filled]]=0,0,Table63[[#This Row],[Total Revenue]]/Table63[[#This Row],[Unit sold Filled]])</f>
        <v>295.60000000000002</v>
      </c>
    </row>
    <row r="193" spans="1:15" ht="15" thickBot="1" x14ac:dyDescent="0.35">
      <c r="A193" s="1" t="s">
        <v>220</v>
      </c>
      <c r="B193" s="3" t="s">
        <v>11</v>
      </c>
      <c r="C193" s="1" t="s">
        <v>50</v>
      </c>
      <c r="D193" t="s">
        <v>13</v>
      </c>
      <c r="E193" s="1" t="s">
        <v>14</v>
      </c>
      <c r="F193" s="1" t="s">
        <v>20</v>
      </c>
      <c r="G193" s="2">
        <v>45118</v>
      </c>
      <c r="H193" s="24">
        <v>468</v>
      </c>
      <c r="I193" s="23">
        <v>88.38</v>
      </c>
      <c r="J193" s="3">
        <v>110.97</v>
      </c>
      <c r="K193">
        <v>41361.839999999997</v>
      </c>
      <c r="L193" s="22">
        <f>(Table63[[#This Row],[Unit sold Filled]]*Table63[[#This Row],[Unit Price Filled]])-(Table63[[#This Row],[Unit sold Filled]]*Table63[[#This Row],[Unit Cost]])</f>
        <v>-10572.120000000003</v>
      </c>
      <c r="M193" s="27">
        <f>IF(Table63[[#This Row],[Total Revenue]]=0,0,Table63[[#This Row],[Profit]]/Table63[[#This Row],[Total Revenue]])</f>
        <v>-0.25560081466395118</v>
      </c>
      <c r="N193" s="28" t="str">
        <f>YEAR(Table63[[#This Row],[Order Date]])&amp;"-"&amp;TEXT(Table63[[#This Row],[Order Date]],"mm")</f>
        <v>2023-07</v>
      </c>
      <c r="O193" s="22">
        <f>IF(Table63[[#This Row],[Unit sold Filled]]=0,0,Table63[[#This Row],[Total Revenue]]/Table63[[#This Row],[Unit sold Filled]])</f>
        <v>88.38</v>
      </c>
    </row>
    <row r="194" spans="1:15" ht="15" thickBot="1" x14ac:dyDescent="0.35">
      <c r="A194" s="15" t="s">
        <v>221</v>
      </c>
      <c r="B194" s="17" t="s">
        <v>22</v>
      </c>
      <c r="C194" s="15" t="s">
        <v>12</v>
      </c>
      <c r="D194" t="s">
        <v>27</v>
      </c>
      <c r="E194" s="15" t="s">
        <v>14</v>
      </c>
      <c r="F194" s="15" t="s">
        <v>28</v>
      </c>
      <c r="G194" s="18">
        <v>45119</v>
      </c>
      <c r="H194" s="24">
        <v>36</v>
      </c>
      <c r="I194" s="23">
        <v>323.08</v>
      </c>
      <c r="J194" s="17">
        <v>371.47</v>
      </c>
      <c r="K194">
        <v>11630.88</v>
      </c>
      <c r="L194" s="22">
        <f>(Table63[[#This Row],[Unit sold Filled]]*Table63[[#This Row],[Unit Price Filled]])-(Table63[[#This Row],[Unit sold Filled]]*Table63[[#This Row],[Unit Cost]])</f>
        <v>-1742.0400000000027</v>
      </c>
      <c r="M194" s="27">
        <f>IF(Table63[[#This Row],[Total Revenue]]=0,0,Table63[[#This Row],[Profit]]/Table63[[#This Row],[Total Revenue]])</f>
        <v>-0.14977714497957187</v>
      </c>
      <c r="N194" s="28" t="str">
        <f>YEAR(Table63[[#This Row],[Order Date]])&amp;"-"&amp;TEXT(Table63[[#This Row],[Order Date]],"mm")</f>
        <v>2023-07</v>
      </c>
      <c r="O194" s="22">
        <f>IF(Table63[[#This Row],[Unit sold Filled]]=0,0,Table63[[#This Row],[Total Revenue]]/Table63[[#This Row],[Unit sold Filled]])</f>
        <v>323.08</v>
      </c>
    </row>
    <row r="195" spans="1:15" ht="15" thickBot="1" x14ac:dyDescent="0.35">
      <c r="A195" s="1" t="s">
        <v>222</v>
      </c>
      <c r="B195" s="3" t="s">
        <v>11</v>
      </c>
      <c r="C195" s="1" t="s">
        <v>26</v>
      </c>
      <c r="D195" t="s">
        <v>23</v>
      </c>
      <c r="E195" s="1" t="s">
        <v>24</v>
      </c>
      <c r="F195" s="1" t="s">
        <v>20</v>
      </c>
      <c r="G195" s="2">
        <v>45120</v>
      </c>
      <c r="H195" s="24">
        <v>204</v>
      </c>
      <c r="I195" s="23">
        <v>380.88</v>
      </c>
      <c r="J195" s="3">
        <v>271.04000000000002</v>
      </c>
      <c r="K195">
        <v>77699.520000000004</v>
      </c>
      <c r="L195" s="22">
        <f>(Table63[[#This Row],[Unit sold Filled]]*Table63[[#This Row],[Unit Price Filled]])-(Table63[[#This Row],[Unit sold Filled]]*Table63[[#This Row],[Unit Cost]])</f>
        <v>22407.360000000001</v>
      </c>
      <c r="M195" s="27">
        <f>IF(Table63[[#This Row],[Total Revenue]]=0,0,Table63[[#This Row],[Profit]]/Table63[[#This Row],[Total Revenue]])</f>
        <v>0.28838479311069104</v>
      </c>
      <c r="N195" s="28" t="str">
        <f>YEAR(Table63[[#This Row],[Order Date]])&amp;"-"&amp;TEXT(Table63[[#This Row],[Order Date]],"mm")</f>
        <v>2023-07</v>
      </c>
      <c r="O195" s="22">
        <f>IF(Table63[[#This Row],[Unit sold Filled]]=0,0,Table63[[#This Row],[Total Revenue]]/Table63[[#This Row],[Unit sold Filled]])</f>
        <v>380.88</v>
      </c>
    </row>
    <row r="196" spans="1:15" ht="15" thickBot="1" x14ac:dyDescent="0.35">
      <c r="A196" s="15" t="s">
        <v>223</v>
      </c>
      <c r="B196" s="17" t="s">
        <v>11</v>
      </c>
      <c r="C196" s="15" t="s">
        <v>26</v>
      </c>
      <c r="D196" t="s">
        <v>23</v>
      </c>
      <c r="E196" s="15" t="s">
        <v>14</v>
      </c>
      <c r="F196" s="15" t="s">
        <v>20</v>
      </c>
      <c r="G196" s="18">
        <v>45121</v>
      </c>
      <c r="H196" s="24">
        <v>346</v>
      </c>
      <c r="I196" s="23">
        <v>252.72</v>
      </c>
      <c r="J196" s="17">
        <v>199.43</v>
      </c>
      <c r="K196">
        <v>87441.12</v>
      </c>
      <c r="L196" s="22">
        <f>(Table63[[#This Row],[Unit sold Filled]]*Table63[[#This Row],[Unit Price Filled]])-(Table63[[#This Row],[Unit sold Filled]]*Table63[[#This Row],[Unit Cost]])</f>
        <v>18438.339999999997</v>
      </c>
      <c r="M196" s="27">
        <f>IF(Table63[[#This Row],[Total Revenue]]=0,0,Table63[[#This Row],[Profit]]/Table63[[#This Row],[Total Revenue]])</f>
        <v>0.21086578031022474</v>
      </c>
      <c r="N196" s="28" t="str">
        <f>YEAR(Table63[[#This Row],[Order Date]])&amp;"-"&amp;TEXT(Table63[[#This Row],[Order Date]],"mm")</f>
        <v>2023-07</v>
      </c>
      <c r="O196" s="22">
        <f>IF(Table63[[#This Row],[Unit sold Filled]]=0,0,Table63[[#This Row],[Total Revenue]]/Table63[[#This Row],[Unit sold Filled]])</f>
        <v>252.72</v>
      </c>
    </row>
    <row r="197" spans="1:15" ht="15" thickBot="1" x14ac:dyDescent="0.35">
      <c r="A197" s="1" t="s">
        <v>224</v>
      </c>
      <c r="B197" s="3" t="s">
        <v>48</v>
      </c>
      <c r="C197" s="1" t="s">
        <v>50</v>
      </c>
      <c r="D197" t="s">
        <v>13</v>
      </c>
      <c r="E197" s="1" t="s">
        <v>24</v>
      </c>
      <c r="F197" s="1" t="s">
        <v>15</v>
      </c>
      <c r="G197" s="2">
        <v>45122</v>
      </c>
      <c r="H197" s="24">
        <v>391</v>
      </c>
      <c r="I197" s="23">
        <v>273.47000000000003</v>
      </c>
      <c r="J197" s="3">
        <v>7.06</v>
      </c>
      <c r="K197">
        <v>106926.77</v>
      </c>
      <c r="L197" s="22">
        <f>(Table63[[#This Row],[Unit sold Filled]]*Table63[[#This Row],[Unit Price Filled]])-(Table63[[#This Row],[Unit sold Filled]]*Table63[[#This Row],[Unit Cost]])</f>
        <v>104166.31</v>
      </c>
      <c r="M197" s="27">
        <f>IF(Table63[[#This Row],[Total Revenue]]=0,0,Table63[[#This Row],[Profit]]/Table63[[#This Row],[Total Revenue]])</f>
        <v>0.97418363988737333</v>
      </c>
      <c r="N197" s="28" t="str">
        <f>YEAR(Table63[[#This Row],[Order Date]])&amp;"-"&amp;TEXT(Table63[[#This Row],[Order Date]],"mm")</f>
        <v>2023-07</v>
      </c>
      <c r="O197" s="22">
        <f>IF(Table63[[#This Row],[Unit sold Filled]]=0,0,Table63[[#This Row],[Total Revenue]]/Table63[[#This Row],[Unit sold Filled]])</f>
        <v>273.47000000000003</v>
      </c>
    </row>
    <row r="198" spans="1:15" ht="15" thickBot="1" x14ac:dyDescent="0.35">
      <c r="A198" s="15" t="s">
        <v>225</v>
      </c>
      <c r="B198" s="17" t="s">
        <v>48</v>
      </c>
      <c r="C198" s="15" t="s">
        <v>12</v>
      </c>
      <c r="D198" t="s">
        <v>13</v>
      </c>
      <c r="E198" s="15" t="s">
        <v>14</v>
      </c>
      <c r="F198" s="15" t="s">
        <v>28</v>
      </c>
      <c r="G198" s="18">
        <v>45123</v>
      </c>
      <c r="H198" s="24">
        <v>245</v>
      </c>
      <c r="I198" s="23">
        <v>475.98</v>
      </c>
      <c r="J198" s="17">
        <v>396.98</v>
      </c>
      <c r="K198">
        <v>116615.1</v>
      </c>
      <c r="L198" s="22">
        <f>(Table63[[#This Row],[Unit sold Filled]]*Table63[[#This Row],[Unit Price Filled]])-(Table63[[#This Row],[Unit sold Filled]]*Table63[[#This Row],[Unit Cost]])</f>
        <v>19355</v>
      </c>
      <c r="M198" s="27">
        <f>IF(Table63[[#This Row],[Total Revenue]]=0,0,Table63[[#This Row],[Profit]]/Table63[[#This Row],[Total Revenue]])</f>
        <v>0.16597336022521955</v>
      </c>
      <c r="N198" s="28" t="str">
        <f>YEAR(Table63[[#This Row],[Order Date]])&amp;"-"&amp;TEXT(Table63[[#This Row],[Order Date]],"mm")</f>
        <v>2023-07</v>
      </c>
      <c r="O198" s="22">
        <f>IF(Table63[[#This Row],[Unit sold Filled]]=0,0,Table63[[#This Row],[Total Revenue]]/Table63[[#This Row],[Unit sold Filled]])</f>
        <v>475.98</v>
      </c>
    </row>
    <row r="199" spans="1:15" ht="15" thickBot="1" x14ac:dyDescent="0.35">
      <c r="A199" s="1" t="s">
        <v>226</v>
      </c>
      <c r="B199" s="3" t="s">
        <v>17</v>
      </c>
      <c r="C199" s="1" t="s">
        <v>18</v>
      </c>
      <c r="D199" t="s">
        <v>27</v>
      </c>
      <c r="E199" s="1" t="s">
        <v>24</v>
      </c>
      <c r="F199" s="1" t="s">
        <v>20</v>
      </c>
      <c r="G199" s="2">
        <v>45124</v>
      </c>
      <c r="H199" s="24">
        <v>449</v>
      </c>
      <c r="I199" s="23">
        <v>424.35</v>
      </c>
      <c r="J199" s="3">
        <v>269.24</v>
      </c>
      <c r="K199">
        <v>190533.15000000002</v>
      </c>
      <c r="L199" s="22">
        <f>(Table63[[#This Row],[Unit sold Filled]]*Table63[[#This Row],[Unit Price Filled]])-(Table63[[#This Row],[Unit sold Filled]]*Table63[[#This Row],[Unit Cost]])</f>
        <v>69644.390000000014</v>
      </c>
      <c r="M199" s="27">
        <f>IF(Table63[[#This Row],[Total Revenue]]=0,0,Table63[[#This Row],[Profit]]/Table63[[#This Row],[Total Revenue]])</f>
        <v>0.36552374219394373</v>
      </c>
      <c r="N199" s="28" t="str">
        <f>YEAR(Table63[[#This Row],[Order Date]])&amp;"-"&amp;TEXT(Table63[[#This Row],[Order Date]],"mm")</f>
        <v>2023-07</v>
      </c>
      <c r="O199" s="22">
        <f>IF(Table63[[#This Row],[Unit sold Filled]]=0,0,Table63[[#This Row],[Total Revenue]]/Table63[[#This Row],[Unit sold Filled]])</f>
        <v>424.35000000000008</v>
      </c>
    </row>
    <row r="200" spans="1:15" ht="15" thickBot="1" x14ac:dyDescent="0.35">
      <c r="A200" s="15" t="s">
        <v>227</v>
      </c>
      <c r="B200" s="17" t="s">
        <v>22</v>
      </c>
      <c r="C200" s="15" t="s">
        <v>50</v>
      </c>
      <c r="D200" t="s">
        <v>19</v>
      </c>
      <c r="E200" s="15" t="s">
        <v>24</v>
      </c>
      <c r="F200" s="15" t="s">
        <v>28</v>
      </c>
      <c r="G200" s="18">
        <v>45125</v>
      </c>
      <c r="H200" s="24">
        <v>101</v>
      </c>
      <c r="I200" s="23">
        <v>457.55</v>
      </c>
      <c r="J200" s="17">
        <v>128.13999999999999</v>
      </c>
      <c r="K200">
        <v>46212.55</v>
      </c>
      <c r="L200" s="22">
        <f>(Table63[[#This Row],[Unit sold Filled]]*Table63[[#This Row],[Unit Price Filled]])-(Table63[[#This Row],[Unit sold Filled]]*Table63[[#This Row],[Unit Cost]])</f>
        <v>33270.410000000003</v>
      </c>
      <c r="M200" s="27">
        <f>IF(Table63[[#This Row],[Total Revenue]]=0,0,Table63[[#This Row],[Profit]]/Table63[[#This Row],[Total Revenue]])</f>
        <v>0.71994317560922305</v>
      </c>
      <c r="N200" s="28" t="str">
        <f>YEAR(Table63[[#This Row],[Order Date]])&amp;"-"&amp;TEXT(Table63[[#This Row],[Order Date]],"mm")</f>
        <v>2023-07</v>
      </c>
      <c r="O200" s="22">
        <f>IF(Table63[[#This Row],[Unit sold Filled]]=0,0,Table63[[#This Row],[Total Revenue]]/Table63[[#This Row],[Unit sold Filled]])</f>
        <v>457.55</v>
      </c>
    </row>
    <row r="201" spans="1:15" ht="15" thickBot="1" x14ac:dyDescent="0.35">
      <c r="A201" s="1" t="s">
        <v>228</v>
      </c>
      <c r="B201" s="3" t="s">
        <v>11</v>
      </c>
      <c r="C201" s="1" t="s">
        <v>26</v>
      </c>
      <c r="D201" t="s">
        <v>27</v>
      </c>
      <c r="E201" s="1" t="s">
        <v>14</v>
      </c>
      <c r="F201" s="1" t="s">
        <v>20</v>
      </c>
      <c r="G201" s="2">
        <v>45126</v>
      </c>
      <c r="H201" s="24">
        <v>255.90294117647059</v>
      </c>
      <c r="I201" s="23">
        <v>407.81</v>
      </c>
      <c r="J201" s="3">
        <v>351.95</v>
      </c>
      <c r="K201">
        <v>104359.77844117647</v>
      </c>
      <c r="L201" s="22">
        <f>(Table63[[#This Row],[Unit sold Filled]]*Table63[[#This Row],[Unit Price Filled]])-(Table63[[#This Row],[Unit sold Filled]]*Table63[[#This Row],[Unit Cost]])</f>
        <v>14294.738294117647</v>
      </c>
      <c r="M201" s="27">
        <f>IF(Table63[[#This Row],[Total Revenue]]=0,0,Table63[[#This Row],[Profit]]/Table63[[#This Row],[Total Revenue]])</f>
        <v>0.13697555234055075</v>
      </c>
      <c r="N201" s="28" t="str">
        <f>YEAR(Table63[[#This Row],[Order Date]])&amp;"-"&amp;TEXT(Table63[[#This Row],[Order Date]],"mm")</f>
        <v>2023-07</v>
      </c>
      <c r="O201" s="22">
        <f>IF(Table63[[#This Row],[Unit sold Filled]]=0,0,Table63[[#This Row],[Total Revenue]]/Table63[[#This Row],[Unit sold Filled]])</f>
        <v>407.81</v>
      </c>
    </row>
    <row r="202" spans="1:15" ht="15" thickBot="1" x14ac:dyDescent="0.35">
      <c r="A202" s="15" t="s">
        <v>229</v>
      </c>
      <c r="B202" s="17" t="s">
        <v>11</v>
      </c>
      <c r="C202" s="15" t="s">
        <v>26</v>
      </c>
      <c r="D202" t="s">
        <v>13</v>
      </c>
      <c r="E202" s="15" t="s">
        <v>24</v>
      </c>
      <c r="F202" s="15" t="s">
        <v>20</v>
      </c>
      <c r="G202" s="18">
        <v>45127</v>
      </c>
      <c r="H202" s="24">
        <v>30</v>
      </c>
      <c r="I202" s="23">
        <v>58.91</v>
      </c>
      <c r="J202" s="17">
        <v>104.86</v>
      </c>
      <c r="K202">
        <v>1767.3</v>
      </c>
      <c r="L202" s="22">
        <f>(Table63[[#This Row],[Unit sold Filled]]*Table63[[#This Row],[Unit Price Filled]])-(Table63[[#This Row],[Unit sold Filled]]*Table63[[#This Row],[Unit Cost]])</f>
        <v>-1378.5000000000002</v>
      </c>
      <c r="M202" s="27">
        <f>IF(Table63[[#This Row],[Total Revenue]]=0,0,Table63[[#This Row],[Profit]]/Table63[[#This Row],[Total Revenue]])</f>
        <v>-0.78000339500933646</v>
      </c>
      <c r="N202" s="28" t="str">
        <f>YEAR(Table63[[#This Row],[Order Date]])&amp;"-"&amp;TEXT(Table63[[#This Row],[Order Date]],"mm")</f>
        <v>2023-07</v>
      </c>
      <c r="O202" s="22">
        <f>IF(Table63[[#This Row],[Unit sold Filled]]=0,0,Table63[[#This Row],[Total Revenue]]/Table63[[#This Row],[Unit sold Filled]])</f>
        <v>58.91</v>
      </c>
    </row>
    <row r="203" spans="1:15" ht="15" thickBot="1" x14ac:dyDescent="0.35">
      <c r="A203" s="1" t="s">
        <v>230</v>
      </c>
      <c r="B203" s="3" t="s">
        <v>17</v>
      </c>
      <c r="C203" s="1" t="s">
        <v>50</v>
      </c>
      <c r="D203" t="s">
        <v>13</v>
      </c>
      <c r="E203" s="1" t="s">
        <v>14</v>
      </c>
      <c r="F203" s="1" t="s">
        <v>28</v>
      </c>
      <c r="G203" s="2">
        <v>45128</v>
      </c>
      <c r="H203" s="24">
        <v>312</v>
      </c>
      <c r="I203" s="23">
        <v>78.75</v>
      </c>
      <c r="J203" s="3">
        <v>218.52</v>
      </c>
      <c r="K203">
        <v>24570</v>
      </c>
      <c r="L203" s="22">
        <f>(Table63[[#This Row],[Unit sold Filled]]*Table63[[#This Row],[Unit Price Filled]])-(Table63[[#This Row],[Unit sold Filled]]*Table63[[#This Row],[Unit Cost]])</f>
        <v>-43608.240000000005</v>
      </c>
      <c r="M203" s="27">
        <f>IF(Table63[[#This Row],[Total Revenue]]=0,0,Table63[[#This Row],[Profit]]/Table63[[#This Row],[Total Revenue]])</f>
        <v>-1.7748571428571431</v>
      </c>
      <c r="N203" s="28" t="str">
        <f>YEAR(Table63[[#This Row],[Order Date]])&amp;"-"&amp;TEXT(Table63[[#This Row],[Order Date]],"mm")</f>
        <v>2023-07</v>
      </c>
      <c r="O203" s="22">
        <f>IF(Table63[[#This Row],[Unit sold Filled]]=0,0,Table63[[#This Row],[Total Revenue]]/Table63[[#This Row],[Unit sold Filled]])</f>
        <v>78.75</v>
      </c>
    </row>
    <row r="204" spans="1:15" ht="15" thickBot="1" x14ac:dyDescent="0.35">
      <c r="A204" s="15" t="s">
        <v>231</v>
      </c>
      <c r="B204" s="17" t="s">
        <v>11</v>
      </c>
      <c r="C204" s="15" t="s">
        <v>12</v>
      </c>
      <c r="D204" t="s">
        <v>42</v>
      </c>
      <c r="E204" s="15" t="s">
        <v>24</v>
      </c>
      <c r="F204" s="15" t="s">
        <v>20</v>
      </c>
      <c r="G204" s="18">
        <v>45129</v>
      </c>
      <c r="H204" s="24">
        <v>473</v>
      </c>
      <c r="I204" s="23">
        <v>265.68</v>
      </c>
      <c r="J204" s="17">
        <v>255.16</v>
      </c>
      <c r="K204">
        <v>125666.64</v>
      </c>
      <c r="L204" s="22">
        <f>(Table63[[#This Row],[Unit sold Filled]]*Table63[[#This Row],[Unit Price Filled]])-(Table63[[#This Row],[Unit sold Filled]]*Table63[[#This Row],[Unit Cost]])</f>
        <v>4975.9600000000064</v>
      </c>
      <c r="M204" s="27">
        <f>IF(Table63[[#This Row],[Total Revenue]]=0,0,Table63[[#This Row],[Profit]]/Table63[[#This Row],[Total Revenue]])</f>
        <v>3.9596507076181925E-2</v>
      </c>
      <c r="N204" s="28" t="str">
        <f>YEAR(Table63[[#This Row],[Order Date]])&amp;"-"&amp;TEXT(Table63[[#This Row],[Order Date]],"mm")</f>
        <v>2023-07</v>
      </c>
      <c r="O204" s="22">
        <f>IF(Table63[[#This Row],[Unit sold Filled]]=0,0,Table63[[#This Row],[Total Revenue]]/Table63[[#This Row],[Unit sold Filled]])</f>
        <v>265.68</v>
      </c>
    </row>
    <row r="205" spans="1:15" ht="15" thickBot="1" x14ac:dyDescent="0.35">
      <c r="A205" s="1" t="s">
        <v>232</v>
      </c>
      <c r="B205" s="3" t="s">
        <v>22</v>
      </c>
      <c r="C205" s="1" t="s">
        <v>26</v>
      </c>
      <c r="D205" t="s">
        <v>13</v>
      </c>
      <c r="E205" s="1" t="s">
        <v>14</v>
      </c>
      <c r="F205" s="1" t="s">
        <v>28</v>
      </c>
      <c r="G205" s="2">
        <v>45130</v>
      </c>
      <c r="H205" s="24">
        <v>366</v>
      </c>
      <c r="I205" s="23">
        <v>126.8</v>
      </c>
      <c r="J205" s="3">
        <v>89.98</v>
      </c>
      <c r="K205">
        <v>46408.799999999996</v>
      </c>
      <c r="L205" s="22">
        <f>(Table63[[#This Row],[Unit sold Filled]]*Table63[[#This Row],[Unit Price Filled]])-(Table63[[#This Row],[Unit sold Filled]]*Table63[[#This Row],[Unit Cost]])</f>
        <v>13476.119999999995</v>
      </c>
      <c r="M205" s="27">
        <f>IF(Table63[[#This Row],[Total Revenue]]=0,0,Table63[[#This Row],[Profit]]/Table63[[#This Row],[Total Revenue]])</f>
        <v>0.29037854889589898</v>
      </c>
      <c r="N205" s="28" t="str">
        <f>YEAR(Table63[[#This Row],[Order Date]])&amp;"-"&amp;TEXT(Table63[[#This Row],[Order Date]],"mm")</f>
        <v>2023-07</v>
      </c>
      <c r="O205" s="22">
        <f>IF(Table63[[#This Row],[Unit sold Filled]]=0,0,Table63[[#This Row],[Total Revenue]]/Table63[[#This Row],[Unit sold Filled]])</f>
        <v>126.79999999999998</v>
      </c>
    </row>
    <row r="206" spans="1:15" ht="15" thickBot="1" x14ac:dyDescent="0.35">
      <c r="A206" s="15" t="s">
        <v>233</v>
      </c>
      <c r="B206" s="17" t="s">
        <v>17</v>
      </c>
      <c r="C206" s="15" t="s">
        <v>12</v>
      </c>
      <c r="D206" t="s">
        <v>42</v>
      </c>
      <c r="E206" s="15" t="s">
        <v>14</v>
      </c>
      <c r="F206" s="15" t="s">
        <v>20</v>
      </c>
      <c r="G206" s="18">
        <v>45131</v>
      </c>
      <c r="H206" s="24">
        <v>452</v>
      </c>
      <c r="I206" s="23">
        <v>240.96</v>
      </c>
      <c r="J206" s="17">
        <v>391.4</v>
      </c>
      <c r="K206">
        <v>108913.92</v>
      </c>
      <c r="L206" s="22">
        <f>(Table63[[#This Row],[Unit sold Filled]]*Table63[[#This Row],[Unit Price Filled]])-(Table63[[#This Row],[Unit sold Filled]]*Table63[[#This Row],[Unit Cost]])</f>
        <v>-67998.87999999999</v>
      </c>
      <c r="M206" s="27">
        <f>IF(Table63[[#This Row],[Total Revenue]]=0,0,Table63[[#This Row],[Profit]]/Table63[[#This Row],[Total Revenue]])</f>
        <v>-0.6243359893758299</v>
      </c>
      <c r="N206" s="28" t="str">
        <f>YEAR(Table63[[#This Row],[Order Date]])&amp;"-"&amp;TEXT(Table63[[#This Row],[Order Date]],"mm")</f>
        <v>2023-07</v>
      </c>
      <c r="O206" s="22">
        <f>IF(Table63[[#This Row],[Unit sold Filled]]=0,0,Table63[[#This Row],[Total Revenue]]/Table63[[#This Row],[Unit sold Filled]])</f>
        <v>240.96</v>
      </c>
    </row>
    <row r="207" spans="1:15" ht="15" thickBot="1" x14ac:dyDescent="0.35">
      <c r="A207" s="1" t="s">
        <v>234</v>
      </c>
      <c r="B207" s="3" t="s">
        <v>22</v>
      </c>
      <c r="C207" s="1" t="s">
        <v>26</v>
      </c>
      <c r="D207" t="s">
        <v>19</v>
      </c>
      <c r="E207" s="1" t="s">
        <v>24</v>
      </c>
      <c r="F207" s="1" t="s">
        <v>15</v>
      </c>
      <c r="G207" s="2">
        <v>45132</v>
      </c>
      <c r="H207" s="24">
        <v>93</v>
      </c>
      <c r="I207" s="23">
        <v>200.21</v>
      </c>
      <c r="J207" s="3">
        <v>299.77999999999997</v>
      </c>
      <c r="K207">
        <v>18619.530000000002</v>
      </c>
      <c r="L207" s="22">
        <f>(Table63[[#This Row],[Unit sold Filled]]*Table63[[#This Row],[Unit Price Filled]])-(Table63[[#This Row],[Unit sold Filled]]*Table63[[#This Row],[Unit Cost]])</f>
        <v>-9260.0099999999948</v>
      </c>
      <c r="M207" s="27">
        <f>IF(Table63[[#This Row],[Total Revenue]]=0,0,Table63[[#This Row],[Profit]]/Table63[[#This Row],[Total Revenue]])</f>
        <v>-0.49732780580390556</v>
      </c>
      <c r="N207" s="28" t="str">
        <f>YEAR(Table63[[#This Row],[Order Date]])&amp;"-"&amp;TEXT(Table63[[#This Row],[Order Date]],"mm")</f>
        <v>2023-07</v>
      </c>
      <c r="O207" s="22">
        <f>IF(Table63[[#This Row],[Unit sold Filled]]=0,0,Table63[[#This Row],[Total Revenue]]/Table63[[#This Row],[Unit sold Filled]])</f>
        <v>200.21000000000004</v>
      </c>
    </row>
    <row r="208" spans="1:15" ht="15" thickBot="1" x14ac:dyDescent="0.35">
      <c r="A208" s="15" t="s">
        <v>235</v>
      </c>
      <c r="B208" s="17" t="s">
        <v>17</v>
      </c>
      <c r="C208" s="15" t="s">
        <v>26</v>
      </c>
      <c r="D208" t="s">
        <v>27</v>
      </c>
      <c r="E208" s="15" t="s">
        <v>14</v>
      </c>
      <c r="F208" s="15" t="s">
        <v>28</v>
      </c>
      <c r="G208" s="18">
        <v>45133</v>
      </c>
      <c r="H208" s="24">
        <v>271</v>
      </c>
      <c r="I208" s="23">
        <v>276.95999999999998</v>
      </c>
      <c r="J208" s="17">
        <v>224.01</v>
      </c>
      <c r="K208">
        <v>75056.159999999989</v>
      </c>
      <c r="L208" s="22">
        <f>(Table63[[#This Row],[Unit sold Filled]]*Table63[[#This Row],[Unit Price Filled]])-(Table63[[#This Row],[Unit sold Filled]]*Table63[[#This Row],[Unit Cost]])</f>
        <v>14349.44999999999</v>
      </c>
      <c r="M208" s="27">
        <f>IF(Table63[[#This Row],[Total Revenue]]=0,0,Table63[[#This Row],[Profit]]/Table63[[#This Row],[Total Revenue]])</f>
        <v>0.19118284228769486</v>
      </c>
      <c r="N208" s="28" t="str">
        <f>YEAR(Table63[[#This Row],[Order Date]])&amp;"-"&amp;TEXT(Table63[[#This Row],[Order Date]],"mm")</f>
        <v>2023-07</v>
      </c>
      <c r="O208" s="22">
        <f>IF(Table63[[#This Row],[Unit sold Filled]]=0,0,Table63[[#This Row],[Total Revenue]]/Table63[[#This Row],[Unit sold Filled]])</f>
        <v>276.95999999999998</v>
      </c>
    </row>
    <row r="209" spans="1:15" ht="15" thickBot="1" x14ac:dyDescent="0.35">
      <c r="A209" s="1" t="s">
        <v>236</v>
      </c>
      <c r="B209" s="3" t="s">
        <v>17</v>
      </c>
      <c r="C209" s="1" t="s">
        <v>31</v>
      </c>
      <c r="D209" t="s">
        <v>27</v>
      </c>
      <c r="E209" s="1" t="s">
        <v>14</v>
      </c>
      <c r="F209" s="1" t="s">
        <v>20</v>
      </c>
      <c r="G209" s="2">
        <v>45134</v>
      </c>
      <c r="H209" s="24">
        <v>156</v>
      </c>
      <c r="I209" s="23">
        <v>374.7</v>
      </c>
      <c r="J209" s="3">
        <v>73.88</v>
      </c>
      <c r="K209">
        <v>58453.2</v>
      </c>
      <c r="L209" s="22">
        <f>(Table63[[#This Row],[Unit sold Filled]]*Table63[[#This Row],[Unit Price Filled]])-(Table63[[#This Row],[Unit sold Filled]]*Table63[[#This Row],[Unit Cost]])</f>
        <v>46927.92</v>
      </c>
      <c r="M209" s="27">
        <f>IF(Table63[[#This Row],[Total Revenue]]=0,0,Table63[[#This Row],[Profit]]/Table63[[#This Row],[Total Revenue]])</f>
        <v>0.80282892981051512</v>
      </c>
      <c r="N209" s="28" t="str">
        <f>YEAR(Table63[[#This Row],[Order Date]])&amp;"-"&amp;TEXT(Table63[[#This Row],[Order Date]],"mm")</f>
        <v>2023-07</v>
      </c>
      <c r="O209" s="22">
        <f>IF(Table63[[#This Row],[Unit sold Filled]]=0,0,Table63[[#This Row],[Total Revenue]]/Table63[[#This Row],[Unit sold Filled]])</f>
        <v>374.7</v>
      </c>
    </row>
    <row r="210" spans="1:15" ht="15" thickBot="1" x14ac:dyDescent="0.35">
      <c r="A210" s="15" t="s">
        <v>237</v>
      </c>
      <c r="B210" s="17" t="s">
        <v>48</v>
      </c>
      <c r="C210" s="15" t="s">
        <v>26</v>
      </c>
      <c r="D210" t="s">
        <v>42</v>
      </c>
      <c r="E210" s="15" t="s">
        <v>24</v>
      </c>
      <c r="F210" s="15" t="s">
        <v>20</v>
      </c>
      <c r="G210" s="18">
        <v>45135</v>
      </c>
      <c r="H210" s="24">
        <v>450</v>
      </c>
      <c r="I210" s="23">
        <v>359.17</v>
      </c>
      <c r="J210" s="17">
        <v>23.44</v>
      </c>
      <c r="K210">
        <v>161626.5</v>
      </c>
      <c r="L210" s="22">
        <f>(Table63[[#This Row],[Unit sold Filled]]*Table63[[#This Row],[Unit Price Filled]])-(Table63[[#This Row],[Unit sold Filled]]*Table63[[#This Row],[Unit Cost]])</f>
        <v>151078.5</v>
      </c>
      <c r="M210" s="27">
        <f>IF(Table63[[#This Row],[Total Revenue]]=0,0,Table63[[#This Row],[Profit]]/Table63[[#This Row],[Total Revenue]])</f>
        <v>0.9347384247013949</v>
      </c>
      <c r="N210" s="28" t="str">
        <f>YEAR(Table63[[#This Row],[Order Date]])&amp;"-"&amp;TEXT(Table63[[#This Row],[Order Date]],"mm")</f>
        <v>2023-07</v>
      </c>
      <c r="O210" s="22">
        <f>IF(Table63[[#This Row],[Unit sold Filled]]=0,0,Table63[[#This Row],[Total Revenue]]/Table63[[#This Row],[Unit sold Filled]])</f>
        <v>359.17</v>
      </c>
    </row>
    <row r="211" spans="1:15" ht="15" thickBot="1" x14ac:dyDescent="0.35">
      <c r="A211" s="1" t="s">
        <v>238</v>
      </c>
      <c r="B211" s="3" t="s">
        <v>22</v>
      </c>
      <c r="C211" s="1" t="s">
        <v>18</v>
      </c>
      <c r="D211" t="s">
        <v>27</v>
      </c>
      <c r="E211" s="1" t="s">
        <v>14</v>
      </c>
      <c r="F211" s="1" t="s">
        <v>15</v>
      </c>
      <c r="G211" s="2">
        <v>45136</v>
      </c>
      <c r="H211" s="24">
        <v>462</v>
      </c>
      <c r="I211" s="23">
        <v>263.01</v>
      </c>
      <c r="J211" s="3">
        <v>129.38</v>
      </c>
      <c r="K211">
        <v>121510.62</v>
      </c>
      <c r="L211" s="22">
        <f>(Table63[[#This Row],[Unit sold Filled]]*Table63[[#This Row],[Unit Price Filled]])-(Table63[[#This Row],[Unit sold Filled]]*Table63[[#This Row],[Unit Cost]])</f>
        <v>61737.06</v>
      </c>
      <c r="M211" s="27">
        <f>IF(Table63[[#This Row],[Total Revenue]]=0,0,Table63[[#This Row],[Profit]]/Table63[[#This Row],[Total Revenue]])</f>
        <v>0.50807954070187444</v>
      </c>
      <c r="N211" s="28" t="str">
        <f>YEAR(Table63[[#This Row],[Order Date]])&amp;"-"&amp;TEXT(Table63[[#This Row],[Order Date]],"mm")</f>
        <v>2023-07</v>
      </c>
      <c r="O211" s="22">
        <f>IF(Table63[[#This Row],[Unit sold Filled]]=0,0,Table63[[#This Row],[Total Revenue]]/Table63[[#This Row],[Unit sold Filled]])</f>
        <v>263.01</v>
      </c>
    </row>
    <row r="212" spans="1:15" ht="15" thickBot="1" x14ac:dyDescent="0.35">
      <c r="A212" s="15" t="s">
        <v>239</v>
      </c>
      <c r="B212" s="17" t="s">
        <v>11</v>
      </c>
      <c r="C212" s="15" t="s">
        <v>50</v>
      </c>
      <c r="D212" t="s">
        <v>389</v>
      </c>
      <c r="E212" s="15" t="s">
        <v>14</v>
      </c>
      <c r="F212" s="15" t="s">
        <v>28</v>
      </c>
      <c r="G212" s="18">
        <v>45137</v>
      </c>
      <c r="H212" s="24">
        <v>396</v>
      </c>
      <c r="I212" s="23">
        <v>412.08</v>
      </c>
      <c r="J212" s="17">
        <v>301.77</v>
      </c>
      <c r="K212">
        <v>163183.67999999999</v>
      </c>
      <c r="L212" s="22">
        <f>(Table63[[#This Row],[Unit sold Filled]]*Table63[[#This Row],[Unit Price Filled]])-(Table63[[#This Row],[Unit sold Filled]]*Table63[[#This Row],[Unit Cost]])</f>
        <v>43682.759999999995</v>
      </c>
      <c r="M212" s="27">
        <f>IF(Table63[[#This Row],[Total Revenue]]=0,0,Table63[[#This Row],[Profit]]/Table63[[#This Row],[Total Revenue]])</f>
        <v>0.26769073966220147</v>
      </c>
      <c r="N212" s="28" t="str">
        <f>YEAR(Table63[[#This Row],[Order Date]])&amp;"-"&amp;TEXT(Table63[[#This Row],[Order Date]],"mm")</f>
        <v>2023-07</v>
      </c>
      <c r="O212" s="22">
        <f>IF(Table63[[#This Row],[Unit sold Filled]]=0,0,Table63[[#This Row],[Total Revenue]]/Table63[[#This Row],[Unit sold Filled]])</f>
        <v>412.08</v>
      </c>
    </row>
    <row r="213" spans="1:15" ht="15" thickBot="1" x14ac:dyDescent="0.35">
      <c r="A213" s="1" t="s">
        <v>240</v>
      </c>
      <c r="B213" s="3" t="s">
        <v>11</v>
      </c>
      <c r="C213" s="1" t="s">
        <v>50</v>
      </c>
      <c r="D213" t="s">
        <v>23</v>
      </c>
      <c r="E213" s="1" t="s">
        <v>24</v>
      </c>
      <c r="F213" s="1" t="s">
        <v>20</v>
      </c>
      <c r="G213" s="2">
        <v>45138</v>
      </c>
      <c r="H213" s="24">
        <v>266</v>
      </c>
      <c r="I213" s="23">
        <v>218.28</v>
      </c>
      <c r="J213" s="3">
        <v>109.19</v>
      </c>
      <c r="K213">
        <v>58062.48</v>
      </c>
      <c r="L213" s="22">
        <f>(Table63[[#This Row],[Unit sold Filled]]*Table63[[#This Row],[Unit Price Filled]])-(Table63[[#This Row],[Unit sold Filled]]*Table63[[#This Row],[Unit Cost]])</f>
        <v>29017.940000000002</v>
      </c>
      <c r="M213" s="27">
        <f>IF(Table63[[#This Row],[Total Revenue]]=0,0,Table63[[#This Row],[Profit]]/Table63[[#This Row],[Total Revenue]])</f>
        <v>0.49977093641194797</v>
      </c>
      <c r="N213" s="28" t="str">
        <f>YEAR(Table63[[#This Row],[Order Date]])&amp;"-"&amp;TEXT(Table63[[#This Row],[Order Date]],"mm")</f>
        <v>2023-07</v>
      </c>
      <c r="O213" s="22">
        <f>IF(Table63[[#This Row],[Unit sold Filled]]=0,0,Table63[[#This Row],[Total Revenue]]/Table63[[#This Row],[Unit sold Filled]])</f>
        <v>218.28</v>
      </c>
    </row>
    <row r="214" spans="1:15" ht="15" thickBot="1" x14ac:dyDescent="0.35">
      <c r="A214" s="15" t="s">
        <v>241</v>
      </c>
      <c r="B214" s="17" t="s">
        <v>22</v>
      </c>
      <c r="C214" s="15" t="s">
        <v>12</v>
      </c>
      <c r="D214" t="s">
        <v>42</v>
      </c>
      <c r="E214" s="15" t="s">
        <v>24</v>
      </c>
      <c r="F214" s="15" t="s">
        <v>15</v>
      </c>
      <c r="G214" s="18">
        <v>45139</v>
      </c>
      <c r="H214" s="24">
        <v>67</v>
      </c>
      <c r="I214" s="23">
        <v>448.87</v>
      </c>
      <c r="J214" s="17">
        <v>216.74</v>
      </c>
      <c r="K214">
        <v>30074.29</v>
      </c>
      <c r="L214" s="22">
        <f>(Table63[[#This Row],[Unit sold Filled]]*Table63[[#This Row],[Unit Price Filled]])-(Table63[[#This Row],[Unit sold Filled]]*Table63[[#This Row],[Unit Cost]])</f>
        <v>15552.710000000001</v>
      </c>
      <c r="M214" s="27">
        <f>IF(Table63[[#This Row],[Total Revenue]]=0,0,Table63[[#This Row],[Profit]]/Table63[[#This Row],[Total Revenue]])</f>
        <v>0.5171430480985586</v>
      </c>
      <c r="N214" s="28" t="str">
        <f>YEAR(Table63[[#This Row],[Order Date]])&amp;"-"&amp;TEXT(Table63[[#This Row],[Order Date]],"mm")</f>
        <v>2023-08</v>
      </c>
      <c r="O214" s="22">
        <f>IF(Table63[[#This Row],[Unit sold Filled]]=0,0,Table63[[#This Row],[Total Revenue]]/Table63[[#This Row],[Unit sold Filled]])</f>
        <v>448.87</v>
      </c>
    </row>
    <row r="215" spans="1:15" ht="15" thickBot="1" x14ac:dyDescent="0.35">
      <c r="A215" s="1" t="s">
        <v>242</v>
      </c>
      <c r="B215" s="3" t="s">
        <v>11</v>
      </c>
      <c r="C215" s="1" t="s">
        <v>26</v>
      </c>
      <c r="D215" t="s">
        <v>27</v>
      </c>
      <c r="E215" s="1" t="s">
        <v>14</v>
      </c>
      <c r="F215" s="1" t="s">
        <v>20</v>
      </c>
      <c r="G215" s="2">
        <v>45140</v>
      </c>
      <c r="H215" s="24">
        <v>389</v>
      </c>
      <c r="I215" s="23">
        <v>40.28</v>
      </c>
      <c r="J215" s="3">
        <v>291.72000000000003</v>
      </c>
      <c r="K215">
        <v>15668.92</v>
      </c>
      <c r="L215" s="22">
        <f>(Table63[[#This Row],[Unit sold Filled]]*Table63[[#This Row],[Unit Price Filled]])-(Table63[[#This Row],[Unit sold Filled]]*Table63[[#This Row],[Unit Cost]])</f>
        <v>-97810.160000000018</v>
      </c>
      <c r="M215" s="27">
        <f>IF(Table63[[#This Row],[Total Revenue]]=0,0,Table63[[#This Row],[Profit]]/Table63[[#This Row],[Total Revenue]])</f>
        <v>-6.2423038728897726</v>
      </c>
      <c r="N215" s="28" t="str">
        <f>YEAR(Table63[[#This Row],[Order Date]])&amp;"-"&amp;TEXT(Table63[[#This Row],[Order Date]],"mm")</f>
        <v>2023-08</v>
      </c>
      <c r="O215" s="22">
        <f>IF(Table63[[#This Row],[Unit sold Filled]]=0,0,Table63[[#This Row],[Total Revenue]]/Table63[[#This Row],[Unit sold Filled]])</f>
        <v>40.28</v>
      </c>
    </row>
    <row r="216" spans="1:15" ht="15" thickBot="1" x14ac:dyDescent="0.35">
      <c r="A216" s="15" t="s">
        <v>243</v>
      </c>
      <c r="B216" s="17" t="s">
        <v>11</v>
      </c>
      <c r="C216" s="15" t="s">
        <v>18</v>
      </c>
      <c r="D216" t="s">
        <v>42</v>
      </c>
      <c r="E216" s="15" t="s">
        <v>14</v>
      </c>
      <c r="F216" s="15" t="s">
        <v>28</v>
      </c>
      <c r="G216" s="18">
        <v>45141</v>
      </c>
      <c r="H216" s="24">
        <v>431</v>
      </c>
      <c r="I216" s="23">
        <v>477.56</v>
      </c>
      <c r="J216" s="17">
        <v>44.96</v>
      </c>
      <c r="K216">
        <v>205828.36000000002</v>
      </c>
      <c r="L216" s="22">
        <f>(Table63[[#This Row],[Unit sold Filled]]*Table63[[#This Row],[Unit Price Filled]])-(Table63[[#This Row],[Unit sold Filled]]*Table63[[#This Row],[Unit Cost]])</f>
        <v>186450.6</v>
      </c>
      <c r="M216" s="27">
        <f>IF(Table63[[#This Row],[Total Revenue]]=0,0,Table63[[#This Row],[Profit]]/Table63[[#This Row],[Total Revenue]])</f>
        <v>0.90585476170533541</v>
      </c>
      <c r="N216" s="28" t="str">
        <f>YEAR(Table63[[#This Row],[Order Date]])&amp;"-"&amp;TEXT(Table63[[#This Row],[Order Date]],"mm")</f>
        <v>2023-08</v>
      </c>
      <c r="O216" s="22">
        <f>IF(Table63[[#This Row],[Unit sold Filled]]=0,0,Table63[[#This Row],[Total Revenue]]/Table63[[#This Row],[Unit sold Filled]])</f>
        <v>477.56000000000006</v>
      </c>
    </row>
    <row r="217" spans="1:15" ht="15" thickBot="1" x14ac:dyDescent="0.35">
      <c r="A217" s="1" t="s">
        <v>244</v>
      </c>
      <c r="B217" s="3" t="s">
        <v>22</v>
      </c>
      <c r="C217" s="1" t="s">
        <v>12</v>
      </c>
      <c r="D217" t="s">
        <v>42</v>
      </c>
      <c r="E217" s="1" t="s">
        <v>24</v>
      </c>
      <c r="F217" s="1" t="s">
        <v>20</v>
      </c>
      <c r="G217" s="2">
        <v>45142</v>
      </c>
      <c r="H217" s="24">
        <v>24</v>
      </c>
      <c r="I217" s="23">
        <v>329.07</v>
      </c>
      <c r="J217" s="3">
        <v>274.75</v>
      </c>
      <c r="K217">
        <v>7897.68</v>
      </c>
      <c r="L217" s="22">
        <f>(Table63[[#This Row],[Unit sold Filled]]*Table63[[#This Row],[Unit Price Filled]])-(Table63[[#This Row],[Unit sold Filled]]*Table63[[#This Row],[Unit Cost]])</f>
        <v>1303.6800000000003</v>
      </c>
      <c r="M217" s="27">
        <f>IF(Table63[[#This Row],[Total Revenue]]=0,0,Table63[[#This Row],[Profit]]/Table63[[#This Row],[Total Revenue]])</f>
        <v>0.16507126143373754</v>
      </c>
      <c r="N217" s="28" t="str">
        <f>YEAR(Table63[[#This Row],[Order Date]])&amp;"-"&amp;TEXT(Table63[[#This Row],[Order Date]],"mm")</f>
        <v>2023-08</v>
      </c>
      <c r="O217" s="22">
        <f>IF(Table63[[#This Row],[Unit sold Filled]]=0,0,Table63[[#This Row],[Total Revenue]]/Table63[[#This Row],[Unit sold Filled]])</f>
        <v>329.07</v>
      </c>
    </row>
    <row r="218" spans="1:15" ht="15" thickBot="1" x14ac:dyDescent="0.35">
      <c r="A218" s="15" t="s">
        <v>245</v>
      </c>
      <c r="B218" s="17" t="s">
        <v>17</v>
      </c>
      <c r="C218" s="15" t="s">
        <v>31</v>
      </c>
      <c r="D218" t="s">
        <v>23</v>
      </c>
      <c r="E218" s="15" t="s">
        <v>24</v>
      </c>
      <c r="F218" s="15" t="s">
        <v>20</v>
      </c>
      <c r="G218" s="18">
        <v>45143</v>
      </c>
      <c r="H218" s="24">
        <v>171</v>
      </c>
      <c r="I218" s="23">
        <v>193.14</v>
      </c>
      <c r="J218" s="17">
        <v>38.56</v>
      </c>
      <c r="K218">
        <v>33026.939999999995</v>
      </c>
      <c r="L218" s="22">
        <f>(Table63[[#This Row],[Unit sold Filled]]*Table63[[#This Row],[Unit Price Filled]])-(Table63[[#This Row],[Unit sold Filled]]*Table63[[#This Row],[Unit Cost]])</f>
        <v>26433.179999999993</v>
      </c>
      <c r="M218" s="27">
        <f>IF(Table63[[#This Row],[Total Revenue]]=0,0,Table63[[#This Row],[Profit]]/Table63[[#This Row],[Total Revenue]])</f>
        <v>0.80035207621414506</v>
      </c>
      <c r="N218" s="28" t="str">
        <f>YEAR(Table63[[#This Row],[Order Date]])&amp;"-"&amp;TEXT(Table63[[#This Row],[Order Date]],"mm")</f>
        <v>2023-08</v>
      </c>
      <c r="O218" s="22">
        <f>IF(Table63[[#This Row],[Unit sold Filled]]=0,0,Table63[[#This Row],[Total Revenue]]/Table63[[#This Row],[Unit sold Filled]])</f>
        <v>193.13999999999996</v>
      </c>
    </row>
    <row r="219" spans="1:15" ht="15" thickBot="1" x14ac:dyDescent="0.35">
      <c r="A219" s="1" t="s">
        <v>246</v>
      </c>
      <c r="B219" s="3" t="s">
        <v>22</v>
      </c>
      <c r="C219" s="1" t="s">
        <v>12</v>
      </c>
      <c r="D219" t="s">
        <v>13</v>
      </c>
      <c r="E219" s="1" t="s">
        <v>14</v>
      </c>
      <c r="F219" s="1" t="s">
        <v>20</v>
      </c>
      <c r="G219" s="2">
        <v>45144</v>
      </c>
      <c r="H219" s="24">
        <v>454</v>
      </c>
      <c r="I219" s="23">
        <v>102.59</v>
      </c>
      <c r="J219" s="3">
        <v>386.12</v>
      </c>
      <c r="K219">
        <v>46575.86</v>
      </c>
      <c r="L219" s="22">
        <f>(Table63[[#This Row],[Unit sold Filled]]*Table63[[#This Row],[Unit Price Filled]])-(Table63[[#This Row],[Unit sold Filled]]*Table63[[#This Row],[Unit Cost]])</f>
        <v>-128722.62000000001</v>
      </c>
      <c r="M219" s="27">
        <f>IF(Table63[[#This Row],[Total Revenue]]=0,0,Table63[[#This Row],[Profit]]/Table63[[#This Row],[Total Revenue]])</f>
        <v>-2.763719660785652</v>
      </c>
      <c r="N219" s="28" t="str">
        <f>YEAR(Table63[[#This Row],[Order Date]])&amp;"-"&amp;TEXT(Table63[[#This Row],[Order Date]],"mm")</f>
        <v>2023-08</v>
      </c>
      <c r="O219" s="22">
        <f>IF(Table63[[#This Row],[Unit sold Filled]]=0,0,Table63[[#This Row],[Total Revenue]]/Table63[[#This Row],[Unit sold Filled]])</f>
        <v>102.59</v>
      </c>
    </row>
    <row r="220" spans="1:15" ht="15" thickBot="1" x14ac:dyDescent="0.35">
      <c r="A220" s="15" t="s">
        <v>247</v>
      </c>
      <c r="B220" s="17" t="s">
        <v>17</v>
      </c>
      <c r="C220" s="15" t="s">
        <v>12</v>
      </c>
      <c r="D220" t="s">
        <v>42</v>
      </c>
      <c r="E220" s="15" t="s">
        <v>24</v>
      </c>
      <c r="F220" s="15" t="s">
        <v>20</v>
      </c>
      <c r="G220" s="18">
        <v>45145</v>
      </c>
      <c r="H220" s="24">
        <v>172</v>
      </c>
      <c r="I220" s="23">
        <v>242.2</v>
      </c>
      <c r="J220" s="17">
        <v>196.38</v>
      </c>
      <c r="K220">
        <v>41658.400000000001</v>
      </c>
      <c r="L220" s="22">
        <f>(Table63[[#This Row],[Unit sold Filled]]*Table63[[#This Row],[Unit Price Filled]])-(Table63[[#This Row],[Unit sold Filled]]*Table63[[#This Row],[Unit Cost]])</f>
        <v>7881.0400000000009</v>
      </c>
      <c r="M220" s="27">
        <f>IF(Table63[[#This Row],[Total Revenue]]=0,0,Table63[[#This Row],[Profit]]/Table63[[#This Row],[Total Revenue]])</f>
        <v>0.18918249380677127</v>
      </c>
      <c r="N220" s="28" t="str">
        <f>YEAR(Table63[[#This Row],[Order Date]])&amp;"-"&amp;TEXT(Table63[[#This Row],[Order Date]],"mm")</f>
        <v>2023-08</v>
      </c>
      <c r="O220" s="22">
        <f>IF(Table63[[#This Row],[Unit sold Filled]]=0,0,Table63[[#This Row],[Total Revenue]]/Table63[[#This Row],[Unit sold Filled]])</f>
        <v>242.20000000000002</v>
      </c>
    </row>
    <row r="221" spans="1:15" ht="15" thickBot="1" x14ac:dyDescent="0.35">
      <c r="A221" s="1" t="s">
        <v>248</v>
      </c>
      <c r="B221" s="3" t="s">
        <v>11</v>
      </c>
      <c r="C221" s="1" t="s">
        <v>26</v>
      </c>
      <c r="D221" t="s">
        <v>27</v>
      </c>
      <c r="E221" s="1" t="s">
        <v>14</v>
      </c>
      <c r="F221" s="1" t="s">
        <v>15</v>
      </c>
      <c r="G221" s="2">
        <v>45146</v>
      </c>
      <c r="H221" s="24">
        <v>329</v>
      </c>
      <c r="I221" s="23">
        <v>101.31</v>
      </c>
      <c r="J221" s="3">
        <v>61.97</v>
      </c>
      <c r="K221">
        <v>33330.99</v>
      </c>
      <c r="L221" s="22">
        <f>(Table63[[#This Row],[Unit sold Filled]]*Table63[[#This Row],[Unit Price Filled]])-(Table63[[#This Row],[Unit sold Filled]]*Table63[[#This Row],[Unit Cost]])</f>
        <v>12942.859999999997</v>
      </c>
      <c r="M221" s="27">
        <f>IF(Table63[[#This Row],[Total Revenue]]=0,0,Table63[[#This Row],[Profit]]/Table63[[#This Row],[Total Revenue]])</f>
        <v>0.38831309841081824</v>
      </c>
      <c r="N221" s="28" t="str">
        <f>YEAR(Table63[[#This Row],[Order Date]])&amp;"-"&amp;TEXT(Table63[[#This Row],[Order Date]],"mm")</f>
        <v>2023-08</v>
      </c>
      <c r="O221" s="22">
        <f>IF(Table63[[#This Row],[Unit sold Filled]]=0,0,Table63[[#This Row],[Total Revenue]]/Table63[[#This Row],[Unit sold Filled]])</f>
        <v>101.30999999999999</v>
      </c>
    </row>
    <row r="222" spans="1:15" ht="15" thickBot="1" x14ac:dyDescent="0.35">
      <c r="A222" s="15" t="s">
        <v>249</v>
      </c>
      <c r="B222" s="17" t="s">
        <v>11</v>
      </c>
      <c r="C222" s="15" t="s">
        <v>31</v>
      </c>
      <c r="D222" t="s">
        <v>19</v>
      </c>
      <c r="E222" s="15" t="s">
        <v>14</v>
      </c>
      <c r="F222" s="15" t="s">
        <v>15</v>
      </c>
      <c r="G222" s="18">
        <v>45147</v>
      </c>
      <c r="H222" s="24">
        <v>290</v>
      </c>
      <c r="I222" s="23">
        <v>87.33</v>
      </c>
      <c r="J222" s="17">
        <v>138.27000000000001</v>
      </c>
      <c r="K222">
        <v>25325.7</v>
      </c>
      <c r="L222" s="22">
        <f>(Table63[[#This Row],[Unit sold Filled]]*Table63[[#This Row],[Unit Price Filled]])-(Table63[[#This Row],[Unit sold Filled]]*Table63[[#This Row],[Unit Cost]])</f>
        <v>-14772.600000000002</v>
      </c>
      <c r="M222" s="27">
        <f>IF(Table63[[#This Row],[Total Revenue]]=0,0,Table63[[#This Row],[Profit]]/Table63[[#This Row],[Total Revenue]])</f>
        <v>-0.58330470628649955</v>
      </c>
      <c r="N222" s="28" t="str">
        <f>YEAR(Table63[[#This Row],[Order Date]])&amp;"-"&amp;TEXT(Table63[[#This Row],[Order Date]],"mm")</f>
        <v>2023-08</v>
      </c>
      <c r="O222" s="22">
        <f>IF(Table63[[#This Row],[Unit sold Filled]]=0,0,Table63[[#This Row],[Total Revenue]]/Table63[[#This Row],[Unit sold Filled]])</f>
        <v>87.33</v>
      </c>
    </row>
    <row r="223" spans="1:15" ht="15" thickBot="1" x14ac:dyDescent="0.35">
      <c r="A223" s="1" t="s">
        <v>250</v>
      </c>
      <c r="B223" s="3" t="s">
        <v>17</v>
      </c>
      <c r="C223" s="1" t="s">
        <v>12</v>
      </c>
      <c r="D223" t="s">
        <v>42</v>
      </c>
      <c r="E223" s="1" t="s">
        <v>14</v>
      </c>
      <c r="F223" s="1" t="s">
        <v>28</v>
      </c>
      <c r="G223" s="2">
        <v>45148</v>
      </c>
      <c r="H223" s="24">
        <v>289</v>
      </c>
      <c r="I223" s="23">
        <v>310.58999999999997</v>
      </c>
      <c r="J223" s="3">
        <v>166.54</v>
      </c>
      <c r="K223">
        <v>89760.51</v>
      </c>
      <c r="L223" s="22">
        <f>(Table63[[#This Row],[Unit sold Filled]]*Table63[[#This Row],[Unit Price Filled]])-(Table63[[#This Row],[Unit sold Filled]]*Table63[[#This Row],[Unit Cost]])</f>
        <v>41630.449999999997</v>
      </c>
      <c r="M223" s="27">
        <f>IF(Table63[[#This Row],[Total Revenue]]=0,0,Table63[[#This Row],[Profit]]/Table63[[#This Row],[Total Revenue]])</f>
        <v>0.4637947132876139</v>
      </c>
      <c r="N223" s="28" t="str">
        <f>YEAR(Table63[[#This Row],[Order Date]])&amp;"-"&amp;TEXT(Table63[[#This Row],[Order Date]],"mm")</f>
        <v>2023-08</v>
      </c>
      <c r="O223" s="22">
        <f>IF(Table63[[#This Row],[Unit sold Filled]]=0,0,Table63[[#This Row],[Total Revenue]]/Table63[[#This Row],[Unit sold Filled]])</f>
        <v>310.58999999999997</v>
      </c>
    </row>
    <row r="224" spans="1:15" ht="15" thickBot="1" x14ac:dyDescent="0.35">
      <c r="A224" s="15" t="s">
        <v>251</v>
      </c>
      <c r="B224" s="17" t="s">
        <v>48</v>
      </c>
      <c r="C224" s="15" t="s">
        <v>18</v>
      </c>
      <c r="D224" t="s">
        <v>42</v>
      </c>
      <c r="E224" s="15" t="s">
        <v>14</v>
      </c>
      <c r="F224" s="15" t="s">
        <v>15</v>
      </c>
      <c r="G224" s="18">
        <v>45149</v>
      </c>
      <c r="H224" s="24">
        <v>21</v>
      </c>
      <c r="I224" s="23">
        <v>263.93</v>
      </c>
      <c r="J224" s="17">
        <v>303.76</v>
      </c>
      <c r="K224">
        <v>5542.53</v>
      </c>
      <c r="L224" s="22">
        <f>(Table63[[#This Row],[Unit sold Filled]]*Table63[[#This Row],[Unit Price Filled]])-(Table63[[#This Row],[Unit sold Filled]]*Table63[[#This Row],[Unit Cost]])</f>
        <v>-836.43000000000029</v>
      </c>
      <c r="M224" s="27">
        <f>IF(Table63[[#This Row],[Total Revenue]]=0,0,Table63[[#This Row],[Profit]]/Table63[[#This Row],[Total Revenue]])</f>
        <v>-0.15091122646156183</v>
      </c>
      <c r="N224" s="28" t="str">
        <f>YEAR(Table63[[#This Row],[Order Date]])&amp;"-"&amp;TEXT(Table63[[#This Row],[Order Date]],"mm")</f>
        <v>2023-08</v>
      </c>
      <c r="O224" s="22">
        <f>IF(Table63[[#This Row],[Unit sold Filled]]=0,0,Table63[[#This Row],[Total Revenue]]/Table63[[#This Row],[Unit sold Filled]])</f>
        <v>263.93</v>
      </c>
    </row>
    <row r="225" spans="1:15" ht="15" thickBot="1" x14ac:dyDescent="0.35">
      <c r="A225" s="1" t="s">
        <v>252</v>
      </c>
      <c r="B225" s="3" t="s">
        <v>17</v>
      </c>
      <c r="C225" s="1" t="s">
        <v>18</v>
      </c>
      <c r="D225" t="s">
        <v>23</v>
      </c>
      <c r="E225" s="1" t="s">
        <v>14</v>
      </c>
      <c r="F225" s="1" t="s">
        <v>15</v>
      </c>
      <c r="G225" s="2">
        <v>45150</v>
      </c>
      <c r="H225" s="24">
        <v>283</v>
      </c>
      <c r="I225" s="23">
        <v>336.7</v>
      </c>
      <c r="J225" s="3">
        <v>297.88</v>
      </c>
      <c r="K225">
        <v>95286.099999999991</v>
      </c>
      <c r="L225" s="22">
        <f>(Table63[[#This Row],[Unit sold Filled]]*Table63[[#This Row],[Unit Price Filled]])-(Table63[[#This Row],[Unit sold Filled]]*Table63[[#This Row],[Unit Cost]])</f>
        <v>10986.059999999998</v>
      </c>
      <c r="M225" s="27">
        <f>IF(Table63[[#This Row],[Total Revenue]]=0,0,Table63[[#This Row],[Profit]]/Table63[[#This Row],[Total Revenue]])</f>
        <v>0.11529551529551528</v>
      </c>
      <c r="N225" s="28" t="str">
        <f>YEAR(Table63[[#This Row],[Order Date]])&amp;"-"&amp;TEXT(Table63[[#This Row],[Order Date]],"mm")</f>
        <v>2023-08</v>
      </c>
      <c r="O225" s="22">
        <f>IF(Table63[[#This Row],[Unit sold Filled]]=0,0,Table63[[#This Row],[Total Revenue]]/Table63[[#This Row],[Unit sold Filled]])</f>
        <v>336.7</v>
      </c>
    </row>
    <row r="226" spans="1:15" ht="15" thickBot="1" x14ac:dyDescent="0.35">
      <c r="A226" s="15" t="s">
        <v>253</v>
      </c>
      <c r="B226" s="17" t="s">
        <v>48</v>
      </c>
      <c r="C226" s="15" t="s">
        <v>50</v>
      </c>
      <c r="D226" t="s">
        <v>13</v>
      </c>
      <c r="E226" s="15" t="s">
        <v>24</v>
      </c>
      <c r="F226" s="15" t="s">
        <v>28</v>
      </c>
      <c r="G226" s="18">
        <v>45151</v>
      </c>
      <c r="H226" s="24">
        <v>280</v>
      </c>
      <c r="I226" s="23">
        <v>465.15</v>
      </c>
      <c r="J226" s="17">
        <v>245.55</v>
      </c>
      <c r="K226">
        <v>130242</v>
      </c>
      <c r="L226" s="22">
        <f>(Table63[[#This Row],[Unit sold Filled]]*Table63[[#This Row],[Unit Price Filled]])-(Table63[[#This Row],[Unit sold Filled]]*Table63[[#This Row],[Unit Cost]])</f>
        <v>61488</v>
      </c>
      <c r="M226" s="27">
        <f>IF(Table63[[#This Row],[Total Revenue]]=0,0,Table63[[#This Row],[Profit]]/Table63[[#This Row],[Total Revenue]])</f>
        <v>0.47210577233150597</v>
      </c>
      <c r="N226" s="28" t="str">
        <f>YEAR(Table63[[#This Row],[Order Date]])&amp;"-"&amp;TEXT(Table63[[#This Row],[Order Date]],"mm")</f>
        <v>2023-08</v>
      </c>
      <c r="O226" s="22">
        <f>IF(Table63[[#This Row],[Unit sold Filled]]=0,0,Table63[[#This Row],[Total Revenue]]/Table63[[#This Row],[Unit sold Filled]])</f>
        <v>465.15</v>
      </c>
    </row>
    <row r="227" spans="1:15" ht="15" thickBot="1" x14ac:dyDescent="0.35">
      <c r="A227" s="1" t="s">
        <v>254</v>
      </c>
      <c r="B227" s="3" t="s">
        <v>48</v>
      </c>
      <c r="C227" s="1" t="s">
        <v>31</v>
      </c>
      <c r="D227" t="s">
        <v>19</v>
      </c>
      <c r="E227" s="1" t="s">
        <v>24</v>
      </c>
      <c r="F227" s="1" t="s">
        <v>15</v>
      </c>
      <c r="G227" s="2">
        <v>45152</v>
      </c>
      <c r="H227" s="24">
        <v>217</v>
      </c>
      <c r="I227" s="23">
        <v>268.47000000000003</v>
      </c>
      <c r="J227" s="3">
        <v>44.16</v>
      </c>
      <c r="K227">
        <v>58257.990000000005</v>
      </c>
      <c r="L227" s="22">
        <f>(Table63[[#This Row],[Unit sold Filled]]*Table63[[#This Row],[Unit Price Filled]])-(Table63[[#This Row],[Unit sold Filled]]*Table63[[#This Row],[Unit Cost]])</f>
        <v>48675.270000000004</v>
      </c>
      <c r="M227" s="27">
        <f>IF(Table63[[#This Row],[Total Revenue]]=0,0,Table63[[#This Row],[Profit]]/Table63[[#This Row],[Total Revenue]])</f>
        <v>0.83551234774835181</v>
      </c>
      <c r="N227" s="28" t="str">
        <f>YEAR(Table63[[#This Row],[Order Date]])&amp;"-"&amp;TEXT(Table63[[#This Row],[Order Date]],"mm")</f>
        <v>2023-08</v>
      </c>
      <c r="O227" s="22">
        <f>IF(Table63[[#This Row],[Unit sold Filled]]=0,0,Table63[[#This Row],[Total Revenue]]/Table63[[#This Row],[Unit sold Filled]])</f>
        <v>268.47000000000003</v>
      </c>
    </row>
    <row r="228" spans="1:15" ht="15" thickBot="1" x14ac:dyDescent="0.35">
      <c r="A228" s="15" t="s">
        <v>255</v>
      </c>
      <c r="B228" s="17" t="s">
        <v>22</v>
      </c>
      <c r="C228" s="15" t="s">
        <v>31</v>
      </c>
      <c r="D228" t="s">
        <v>27</v>
      </c>
      <c r="E228" s="15" t="s">
        <v>24</v>
      </c>
      <c r="F228" s="15" t="s">
        <v>15</v>
      </c>
      <c r="G228" s="18">
        <v>45153</v>
      </c>
      <c r="H228" s="24">
        <v>36</v>
      </c>
      <c r="I228" s="23">
        <v>292.56</v>
      </c>
      <c r="J228" s="17">
        <v>62.32</v>
      </c>
      <c r="K228">
        <v>10532.16</v>
      </c>
      <c r="L228" s="22">
        <f>(Table63[[#This Row],[Unit sold Filled]]*Table63[[#This Row],[Unit Price Filled]])-(Table63[[#This Row],[Unit sold Filled]]*Table63[[#This Row],[Unit Cost]])</f>
        <v>8288.64</v>
      </c>
      <c r="M228" s="27">
        <f>IF(Table63[[#This Row],[Total Revenue]]=0,0,Table63[[#This Row],[Profit]]/Table63[[#This Row],[Total Revenue]])</f>
        <v>0.78698386655728736</v>
      </c>
      <c r="N228" s="28" t="str">
        <f>YEAR(Table63[[#This Row],[Order Date]])&amp;"-"&amp;TEXT(Table63[[#This Row],[Order Date]],"mm")</f>
        <v>2023-08</v>
      </c>
      <c r="O228" s="22">
        <f>IF(Table63[[#This Row],[Unit sold Filled]]=0,0,Table63[[#This Row],[Total Revenue]]/Table63[[#This Row],[Unit sold Filled]])</f>
        <v>292.56</v>
      </c>
    </row>
    <row r="229" spans="1:15" ht="15" thickBot="1" x14ac:dyDescent="0.35">
      <c r="A229" s="1" t="s">
        <v>256</v>
      </c>
      <c r="B229" s="3" t="s">
        <v>48</v>
      </c>
      <c r="C229" s="1" t="s">
        <v>50</v>
      </c>
      <c r="D229" t="s">
        <v>19</v>
      </c>
      <c r="E229" s="1" t="s">
        <v>24</v>
      </c>
      <c r="F229" s="1" t="s">
        <v>28</v>
      </c>
      <c r="G229" s="2">
        <v>45154</v>
      </c>
      <c r="H229" s="24">
        <v>255.90294117647059</v>
      </c>
      <c r="I229" s="23">
        <v>49.37</v>
      </c>
      <c r="J229" s="3">
        <v>39.32</v>
      </c>
      <c r="K229">
        <v>12633.928205882352</v>
      </c>
      <c r="L229" s="22">
        <f>(Table63[[#This Row],[Unit sold Filled]]*Table63[[#This Row],[Unit Price Filled]])-(Table63[[#This Row],[Unit sold Filled]]*Table63[[#This Row],[Unit Cost]])</f>
        <v>2571.8245588235277</v>
      </c>
      <c r="M229" s="27">
        <f>IF(Table63[[#This Row],[Total Revenue]]=0,0,Table63[[#This Row],[Profit]]/Table63[[#This Row],[Total Revenue]])</f>
        <v>0.20356491796637621</v>
      </c>
      <c r="N229" s="28" t="str">
        <f>YEAR(Table63[[#This Row],[Order Date]])&amp;"-"&amp;TEXT(Table63[[#This Row],[Order Date]],"mm")</f>
        <v>2023-08</v>
      </c>
      <c r="O229" s="22">
        <f>IF(Table63[[#This Row],[Unit sold Filled]]=0,0,Table63[[#This Row],[Total Revenue]]/Table63[[#This Row],[Unit sold Filled]])</f>
        <v>49.37</v>
      </c>
    </row>
    <row r="230" spans="1:15" ht="15" thickBot="1" x14ac:dyDescent="0.35">
      <c r="A230" s="15" t="s">
        <v>257</v>
      </c>
      <c r="B230" s="17" t="s">
        <v>22</v>
      </c>
      <c r="C230" s="15" t="s">
        <v>12</v>
      </c>
      <c r="D230" t="s">
        <v>27</v>
      </c>
      <c r="E230" s="15" t="s">
        <v>14</v>
      </c>
      <c r="F230" s="15" t="s">
        <v>28</v>
      </c>
      <c r="G230" s="18">
        <v>45155</v>
      </c>
      <c r="H230" s="24">
        <v>69</v>
      </c>
      <c r="I230" s="23">
        <v>360.23</v>
      </c>
      <c r="J230" s="17">
        <v>231.71</v>
      </c>
      <c r="K230">
        <v>24855.870000000003</v>
      </c>
      <c r="L230" s="22">
        <f>(Table63[[#This Row],[Unit sold Filled]]*Table63[[#This Row],[Unit Price Filled]])-(Table63[[#This Row],[Unit sold Filled]]*Table63[[#This Row],[Unit Cost]])</f>
        <v>8867.8800000000028</v>
      </c>
      <c r="M230" s="27">
        <f>IF(Table63[[#This Row],[Total Revenue]]=0,0,Table63[[#This Row],[Profit]]/Table63[[#This Row],[Total Revenue]])</f>
        <v>0.35677206229353475</v>
      </c>
      <c r="N230" s="28" t="str">
        <f>YEAR(Table63[[#This Row],[Order Date]])&amp;"-"&amp;TEXT(Table63[[#This Row],[Order Date]],"mm")</f>
        <v>2023-08</v>
      </c>
      <c r="O230" s="22">
        <f>IF(Table63[[#This Row],[Unit sold Filled]]=0,0,Table63[[#This Row],[Total Revenue]]/Table63[[#This Row],[Unit sold Filled]])</f>
        <v>360.23</v>
      </c>
    </row>
    <row r="231" spans="1:15" ht="15" thickBot="1" x14ac:dyDescent="0.35">
      <c r="A231" s="1" t="s">
        <v>258</v>
      </c>
      <c r="B231" s="3" t="s">
        <v>22</v>
      </c>
      <c r="C231" s="1" t="s">
        <v>31</v>
      </c>
      <c r="D231" t="s">
        <v>13</v>
      </c>
      <c r="E231" s="1" t="s">
        <v>14</v>
      </c>
      <c r="F231" s="1" t="s">
        <v>28</v>
      </c>
      <c r="G231" s="2">
        <v>45156</v>
      </c>
      <c r="H231" s="24">
        <v>439</v>
      </c>
      <c r="I231" s="23">
        <v>202.95</v>
      </c>
      <c r="J231" s="3">
        <v>351.1</v>
      </c>
      <c r="K231">
        <v>89095.049999999988</v>
      </c>
      <c r="L231" s="22">
        <f>(Table63[[#This Row],[Unit sold Filled]]*Table63[[#This Row],[Unit Price Filled]])-(Table63[[#This Row],[Unit sold Filled]]*Table63[[#This Row],[Unit Cost]])</f>
        <v>-65037.850000000035</v>
      </c>
      <c r="M231" s="27">
        <f>IF(Table63[[#This Row],[Total Revenue]]=0,0,Table63[[#This Row],[Profit]]/Table63[[#This Row],[Total Revenue]])</f>
        <v>-0.72998275437299875</v>
      </c>
      <c r="N231" s="28" t="str">
        <f>YEAR(Table63[[#This Row],[Order Date]])&amp;"-"&amp;TEXT(Table63[[#This Row],[Order Date]],"mm")</f>
        <v>2023-08</v>
      </c>
      <c r="O231" s="22">
        <f>IF(Table63[[#This Row],[Unit sold Filled]]=0,0,Table63[[#This Row],[Total Revenue]]/Table63[[#This Row],[Unit sold Filled]])</f>
        <v>202.94999999999996</v>
      </c>
    </row>
    <row r="232" spans="1:15" ht="15" thickBot="1" x14ac:dyDescent="0.35">
      <c r="A232" s="15" t="s">
        <v>259</v>
      </c>
      <c r="B232" s="17" t="s">
        <v>48</v>
      </c>
      <c r="C232" s="15" t="s">
        <v>18</v>
      </c>
      <c r="D232" t="s">
        <v>27</v>
      </c>
      <c r="E232" s="15" t="s">
        <v>14</v>
      </c>
      <c r="F232" s="15" t="s">
        <v>20</v>
      </c>
      <c r="G232" s="18">
        <v>45157</v>
      </c>
      <c r="H232" s="24">
        <v>482</v>
      </c>
      <c r="I232" s="23">
        <v>488.48</v>
      </c>
      <c r="J232" s="17">
        <v>174.65</v>
      </c>
      <c r="K232">
        <v>235447.36000000002</v>
      </c>
      <c r="L232" s="22">
        <f>(Table63[[#This Row],[Unit sold Filled]]*Table63[[#This Row],[Unit Price Filled]])-(Table63[[#This Row],[Unit sold Filled]]*Table63[[#This Row],[Unit Cost]])</f>
        <v>151266.06</v>
      </c>
      <c r="M232" s="27">
        <f>IF(Table63[[#This Row],[Total Revenue]]=0,0,Table63[[#This Row],[Profit]]/Table63[[#This Row],[Total Revenue]])</f>
        <v>0.64246233213232884</v>
      </c>
      <c r="N232" s="28" t="str">
        <f>YEAR(Table63[[#This Row],[Order Date]])&amp;"-"&amp;TEXT(Table63[[#This Row],[Order Date]],"mm")</f>
        <v>2023-08</v>
      </c>
      <c r="O232" s="22">
        <f>IF(Table63[[#This Row],[Unit sold Filled]]=0,0,Table63[[#This Row],[Total Revenue]]/Table63[[#This Row],[Unit sold Filled]])</f>
        <v>488.48</v>
      </c>
    </row>
    <row r="233" spans="1:15" ht="15" thickBot="1" x14ac:dyDescent="0.35">
      <c r="A233" s="1" t="s">
        <v>260</v>
      </c>
      <c r="B233" s="3" t="s">
        <v>17</v>
      </c>
      <c r="C233" s="1" t="s">
        <v>18</v>
      </c>
      <c r="D233" t="s">
        <v>23</v>
      </c>
      <c r="E233" s="1" t="s">
        <v>14</v>
      </c>
      <c r="F233" s="1" t="s">
        <v>20</v>
      </c>
      <c r="G233" s="2">
        <v>45158</v>
      </c>
      <c r="H233" s="24">
        <v>154</v>
      </c>
      <c r="I233" s="23">
        <v>412.47</v>
      </c>
      <c r="J233" s="3">
        <v>66.02</v>
      </c>
      <c r="K233">
        <v>63520.380000000005</v>
      </c>
      <c r="L233" s="22">
        <f>(Table63[[#This Row],[Unit sold Filled]]*Table63[[#This Row],[Unit Price Filled]])-(Table63[[#This Row],[Unit sold Filled]]*Table63[[#This Row],[Unit Cost]])</f>
        <v>53353.3</v>
      </c>
      <c r="M233" s="27">
        <f>IF(Table63[[#This Row],[Total Revenue]]=0,0,Table63[[#This Row],[Profit]]/Table63[[#This Row],[Total Revenue]])</f>
        <v>0.83993987441510898</v>
      </c>
      <c r="N233" s="28" t="str">
        <f>YEAR(Table63[[#This Row],[Order Date]])&amp;"-"&amp;TEXT(Table63[[#This Row],[Order Date]],"mm")</f>
        <v>2023-08</v>
      </c>
      <c r="O233" s="22">
        <f>IF(Table63[[#This Row],[Unit sold Filled]]=0,0,Table63[[#This Row],[Total Revenue]]/Table63[[#This Row],[Unit sold Filled]])</f>
        <v>412.47</v>
      </c>
    </row>
    <row r="234" spans="1:15" ht="15" thickBot="1" x14ac:dyDescent="0.35">
      <c r="A234" s="15" t="s">
        <v>261</v>
      </c>
      <c r="B234" s="17" t="s">
        <v>17</v>
      </c>
      <c r="C234" s="15" t="s">
        <v>26</v>
      </c>
      <c r="D234" t="s">
        <v>23</v>
      </c>
      <c r="E234" s="15" t="s">
        <v>24</v>
      </c>
      <c r="F234" s="15" t="s">
        <v>28</v>
      </c>
      <c r="G234" s="18">
        <v>45159</v>
      </c>
      <c r="H234" s="24">
        <v>102</v>
      </c>
      <c r="I234" s="23">
        <v>263.63</v>
      </c>
      <c r="J234" s="17">
        <v>224.1</v>
      </c>
      <c r="K234">
        <v>26890.26</v>
      </c>
      <c r="L234" s="22">
        <f>(Table63[[#This Row],[Unit sold Filled]]*Table63[[#This Row],[Unit Price Filled]])-(Table63[[#This Row],[Unit sold Filled]]*Table63[[#This Row],[Unit Cost]])</f>
        <v>4032.0599999999977</v>
      </c>
      <c r="M234" s="27">
        <f>IF(Table63[[#This Row],[Total Revenue]]=0,0,Table63[[#This Row],[Profit]]/Table63[[#This Row],[Total Revenue]])</f>
        <v>0.14994499867238167</v>
      </c>
      <c r="N234" s="28" t="str">
        <f>YEAR(Table63[[#This Row],[Order Date]])&amp;"-"&amp;TEXT(Table63[[#This Row],[Order Date]],"mm")</f>
        <v>2023-08</v>
      </c>
      <c r="O234" s="22">
        <f>IF(Table63[[#This Row],[Unit sold Filled]]=0,0,Table63[[#This Row],[Total Revenue]]/Table63[[#This Row],[Unit sold Filled]])</f>
        <v>263.63</v>
      </c>
    </row>
    <row r="235" spans="1:15" ht="15" thickBot="1" x14ac:dyDescent="0.35">
      <c r="A235" s="1" t="s">
        <v>262</v>
      </c>
      <c r="B235" s="3" t="s">
        <v>17</v>
      </c>
      <c r="C235" s="1" t="s">
        <v>31</v>
      </c>
      <c r="D235" t="s">
        <v>23</v>
      </c>
      <c r="E235" s="1" t="s">
        <v>14</v>
      </c>
      <c r="F235" s="1" t="s">
        <v>28</v>
      </c>
      <c r="G235" s="2">
        <v>45160</v>
      </c>
      <c r="H235" s="24">
        <v>318</v>
      </c>
      <c r="I235" s="23">
        <v>66</v>
      </c>
      <c r="J235" s="3">
        <v>325.08</v>
      </c>
      <c r="K235">
        <v>20988</v>
      </c>
      <c r="L235" s="22">
        <f>(Table63[[#This Row],[Unit sold Filled]]*Table63[[#This Row],[Unit Price Filled]])-(Table63[[#This Row],[Unit sold Filled]]*Table63[[#This Row],[Unit Cost]])</f>
        <v>-82387.439999999988</v>
      </c>
      <c r="M235" s="27">
        <f>IF(Table63[[#This Row],[Total Revenue]]=0,0,Table63[[#This Row],[Profit]]/Table63[[#This Row],[Total Revenue]])</f>
        <v>-3.9254545454545449</v>
      </c>
      <c r="N235" s="28" t="str">
        <f>YEAR(Table63[[#This Row],[Order Date]])&amp;"-"&amp;TEXT(Table63[[#This Row],[Order Date]],"mm")</f>
        <v>2023-08</v>
      </c>
      <c r="O235" s="22">
        <f>IF(Table63[[#This Row],[Unit sold Filled]]=0,0,Table63[[#This Row],[Total Revenue]]/Table63[[#This Row],[Unit sold Filled]])</f>
        <v>66</v>
      </c>
    </row>
    <row r="236" spans="1:15" ht="15" thickBot="1" x14ac:dyDescent="0.35">
      <c r="A236" s="15" t="s">
        <v>263</v>
      </c>
      <c r="B236" s="17" t="s">
        <v>17</v>
      </c>
      <c r="C236" s="15" t="s">
        <v>12</v>
      </c>
      <c r="D236" t="s">
        <v>23</v>
      </c>
      <c r="E236" s="15" t="s">
        <v>14</v>
      </c>
      <c r="F236" s="15" t="s">
        <v>28</v>
      </c>
      <c r="G236" s="18">
        <v>45161</v>
      </c>
      <c r="H236" s="24">
        <v>17</v>
      </c>
      <c r="I236" s="23">
        <v>430.41</v>
      </c>
      <c r="J236" s="17">
        <v>297.2</v>
      </c>
      <c r="K236">
        <v>7316.97</v>
      </c>
      <c r="L236" s="22">
        <f>(Table63[[#This Row],[Unit sold Filled]]*Table63[[#This Row],[Unit Price Filled]])-(Table63[[#This Row],[Unit sold Filled]]*Table63[[#This Row],[Unit Cost]])</f>
        <v>2264.5700000000006</v>
      </c>
      <c r="M236" s="27">
        <f>IF(Table63[[#This Row],[Total Revenue]]=0,0,Table63[[#This Row],[Profit]]/Table63[[#This Row],[Total Revenue]])</f>
        <v>0.30949559722125425</v>
      </c>
      <c r="N236" s="28" t="str">
        <f>YEAR(Table63[[#This Row],[Order Date]])&amp;"-"&amp;TEXT(Table63[[#This Row],[Order Date]],"mm")</f>
        <v>2023-08</v>
      </c>
      <c r="O236" s="22">
        <f>IF(Table63[[#This Row],[Unit sold Filled]]=0,0,Table63[[#This Row],[Total Revenue]]/Table63[[#This Row],[Unit sold Filled]])</f>
        <v>430.41</v>
      </c>
    </row>
    <row r="237" spans="1:15" ht="15" thickBot="1" x14ac:dyDescent="0.35">
      <c r="A237" s="1" t="s">
        <v>264</v>
      </c>
      <c r="B237" s="3" t="s">
        <v>17</v>
      </c>
      <c r="C237" s="1" t="s">
        <v>50</v>
      </c>
      <c r="D237" t="s">
        <v>19</v>
      </c>
      <c r="E237" s="1" t="s">
        <v>24</v>
      </c>
      <c r="F237" s="1" t="s">
        <v>20</v>
      </c>
      <c r="G237" s="2">
        <v>45162</v>
      </c>
      <c r="H237" s="24">
        <v>88</v>
      </c>
      <c r="I237" s="23">
        <v>400.89</v>
      </c>
      <c r="J237" s="3">
        <v>352.82</v>
      </c>
      <c r="K237">
        <v>35278.32</v>
      </c>
      <c r="L237" s="22">
        <f>(Table63[[#This Row],[Unit sold Filled]]*Table63[[#This Row],[Unit Price Filled]])-(Table63[[#This Row],[Unit sold Filled]]*Table63[[#This Row],[Unit Cost]])</f>
        <v>4230.16</v>
      </c>
      <c r="M237" s="27">
        <f>IF(Table63[[#This Row],[Total Revenue]]=0,0,Table63[[#This Row],[Profit]]/Table63[[#This Row],[Total Revenue]])</f>
        <v>0.11990820424555364</v>
      </c>
      <c r="N237" s="28" t="str">
        <f>YEAR(Table63[[#This Row],[Order Date]])&amp;"-"&amp;TEXT(Table63[[#This Row],[Order Date]],"mm")</f>
        <v>2023-08</v>
      </c>
      <c r="O237" s="22">
        <f>IF(Table63[[#This Row],[Unit sold Filled]]=0,0,Table63[[#This Row],[Total Revenue]]/Table63[[#This Row],[Unit sold Filled]])</f>
        <v>400.89</v>
      </c>
    </row>
    <row r="238" spans="1:15" ht="15" thickBot="1" x14ac:dyDescent="0.35">
      <c r="A238" s="15" t="s">
        <v>265</v>
      </c>
      <c r="B238" s="17" t="s">
        <v>48</v>
      </c>
      <c r="C238" s="15" t="s">
        <v>50</v>
      </c>
      <c r="D238" t="s">
        <v>13</v>
      </c>
      <c r="E238" s="15" t="s">
        <v>24</v>
      </c>
      <c r="F238" s="15" t="s">
        <v>20</v>
      </c>
      <c r="G238" s="18">
        <v>45163</v>
      </c>
      <c r="H238" s="24">
        <v>36</v>
      </c>
      <c r="I238" s="23">
        <v>96.37</v>
      </c>
      <c r="J238" s="17">
        <v>112.61</v>
      </c>
      <c r="K238">
        <v>3469.32</v>
      </c>
      <c r="L238" s="22">
        <f>(Table63[[#This Row],[Unit sold Filled]]*Table63[[#This Row],[Unit Price Filled]])-(Table63[[#This Row],[Unit sold Filled]]*Table63[[#This Row],[Unit Cost]])</f>
        <v>-584.63999999999987</v>
      </c>
      <c r="M238" s="27">
        <f>IF(Table63[[#This Row],[Total Revenue]]=0,0,Table63[[#This Row],[Profit]]/Table63[[#This Row],[Total Revenue]])</f>
        <v>-0.16851717339420977</v>
      </c>
      <c r="N238" s="28" t="str">
        <f>YEAR(Table63[[#This Row],[Order Date]])&amp;"-"&amp;TEXT(Table63[[#This Row],[Order Date]],"mm")</f>
        <v>2023-08</v>
      </c>
      <c r="O238" s="22">
        <f>IF(Table63[[#This Row],[Unit sold Filled]]=0,0,Table63[[#This Row],[Total Revenue]]/Table63[[#This Row],[Unit sold Filled]])</f>
        <v>96.37</v>
      </c>
    </row>
    <row r="239" spans="1:15" ht="15" thickBot="1" x14ac:dyDescent="0.35">
      <c r="A239" s="1" t="s">
        <v>266</v>
      </c>
      <c r="B239" s="3" t="s">
        <v>48</v>
      </c>
      <c r="C239" s="1" t="s">
        <v>12</v>
      </c>
      <c r="D239" t="s">
        <v>27</v>
      </c>
      <c r="E239" s="1" t="s">
        <v>24</v>
      </c>
      <c r="F239" s="1" t="s">
        <v>15</v>
      </c>
      <c r="G239" s="2">
        <v>45164</v>
      </c>
      <c r="H239" s="24">
        <v>183</v>
      </c>
      <c r="I239" s="23">
        <v>151.16</v>
      </c>
      <c r="J239" s="3">
        <v>79.19</v>
      </c>
      <c r="K239">
        <v>27662.28</v>
      </c>
      <c r="L239" s="22">
        <f>(Table63[[#This Row],[Unit sold Filled]]*Table63[[#This Row],[Unit Price Filled]])-(Table63[[#This Row],[Unit sold Filled]]*Table63[[#This Row],[Unit Cost]])</f>
        <v>13170.509999999998</v>
      </c>
      <c r="M239" s="27">
        <f>IF(Table63[[#This Row],[Total Revenue]]=0,0,Table63[[#This Row],[Profit]]/Table63[[#This Row],[Total Revenue]])</f>
        <v>0.476118020640381</v>
      </c>
      <c r="N239" s="28" t="str">
        <f>YEAR(Table63[[#This Row],[Order Date]])&amp;"-"&amp;TEXT(Table63[[#This Row],[Order Date]],"mm")</f>
        <v>2023-08</v>
      </c>
      <c r="O239" s="22">
        <f>IF(Table63[[#This Row],[Unit sold Filled]]=0,0,Table63[[#This Row],[Total Revenue]]/Table63[[#This Row],[Unit sold Filled]])</f>
        <v>151.16</v>
      </c>
    </row>
    <row r="240" spans="1:15" ht="15" thickBot="1" x14ac:dyDescent="0.35">
      <c r="A240" s="15" t="s">
        <v>267</v>
      </c>
      <c r="B240" s="17" t="s">
        <v>11</v>
      </c>
      <c r="C240" s="15" t="s">
        <v>26</v>
      </c>
      <c r="D240" t="s">
        <v>27</v>
      </c>
      <c r="E240" s="15" t="s">
        <v>24</v>
      </c>
      <c r="F240" s="15" t="s">
        <v>15</v>
      </c>
      <c r="G240" s="18">
        <v>45165</v>
      </c>
      <c r="H240" s="24">
        <v>59</v>
      </c>
      <c r="I240" s="23">
        <v>397.74</v>
      </c>
      <c r="J240" s="17">
        <v>352.17</v>
      </c>
      <c r="K240">
        <v>23466.66</v>
      </c>
      <c r="L240" s="22">
        <f>(Table63[[#This Row],[Unit sold Filled]]*Table63[[#This Row],[Unit Price Filled]])-(Table63[[#This Row],[Unit sold Filled]]*Table63[[#This Row],[Unit Cost]])</f>
        <v>2688.6299999999974</v>
      </c>
      <c r="M240" s="27">
        <f>IF(Table63[[#This Row],[Total Revenue]]=0,0,Table63[[#This Row],[Profit]]/Table63[[#This Row],[Total Revenue]])</f>
        <v>0.11457233368532196</v>
      </c>
      <c r="N240" s="28" t="str">
        <f>YEAR(Table63[[#This Row],[Order Date]])&amp;"-"&amp;TEXT(Table63[[#This Row],[Order Date]],"mm")</f>
        <v>2023-08</v>
      </c>
      <c r="O240" s="22">
        <f>IF(Table63[[#This Row],[Unit sold Filled]]=0,0,Table63[[#This Row],[Total Revenue]]/Table63[[#This Row],[Unit sold Filled]])</f>
        <v>397.74</v>
      </c>
    </row>
    <row r="241" spans="1:15" ht="15" thickBot="1" x14ac:dyDescent="0.35">
      <c r="A241" s="1" t="s">
        <v>268</v>
      </c>
      <c r="B241" s="3" t="s">
        <v>17</v>
      </c>
      <c r="C241" s="1" t="s">
        <v>50</v>
      </c>
      <c r="D241" t="s">
        <v>23</v>
      </c>
      <c r="E241" s="1" t="s">
        <v>14</v>
      </c>
      <c r="F241" s="1" t="s">
        <v>28</v>
      </c>
      <c r="G241" s="2">
        <v>45166</v>
      </c>
      <c r="H241" s="24">
        <v>208</v>
      </c>
      <c r="I241" s="23">
        <v>96.69</v>
      </c>
      <c r="J241" s="3">
        <v>263.70999999999998</v>
      </c>
      <c r="K241">
        <v>20111.52</v>
      </c>
      <c r="L241" s="22">
        <f>(Table63[[#This Row],[Unit sold Filled]]*Table63[[#This Row],[Unit Price Filled]])-(Table63[[#This Row],[Unit sold Filled]]*Table63[[#This Row],[Unit Cost]])</f>
        <v>-34740.159999999989</v>
      </c>
      <c r="M241" s="27">
        <f>IF(Table63[[#This Row],[Total Revenue]]=0,0,Table63[[#This Row],[Profit]]/Table63[[#This Row],[Total Revenue]])</f>
        <v>-1.727376150584341</v>
      </c>
      <c r="N241" s="28" t="str">
        <f>YEAR(Table63[[#This Row],[Order Date]])&amp;"-"&amp;TEXT(Table63[[#This Row],[Order Date]],"mm")</f>
        <v>2023-08</v>
      </c>
      <c r="O241" s="22">
        <f>IF(Table63[[#This Row],[Unit sold Filled]]=0,0,Table63[[#This Row],[Total Revenue]]/Table63[[#This Row],[Unit sold Filled]])</f>
        <v>96.69</v>
      </c>
    </row>
    <row r="242" spans="1:15" ht="15" thickBot="1" x14ac:dyDescent="0.35">
      <c r="A242" s="15" t="s">
        <v>269</v>
      </c>
      <c r="B242" s="17" t="s">
        <v>48</v>
      </c>
      <c r="C242" s="15" t="s">
        <v>31</v>
      </c>
      <c r="D242" t="s">
        <v>23</v>
      </c>
      <c r="E242" s="15" t="s">
        <v>14</v>
      </c>
      <c r="F242" s="15" t="s">
        <v>20</v>
      </c>
      <c r="G242" s="18">
        <v>45167</v>
      </c>
      <c r="H242" s="24">
        <v>396</v>
      </c>
      <c r="I242" s="23">
        <v>459.29</v>
      </c>
      <c r="J242" s="17">
        <v>125.75</v>
      </c>
      <c r="K242">
        <v>181878.84</v>
      </c>
      <c r="L242" s="22">
        <f>(Table63[[#This Row],[Unit sold Filled]]*Table63[[#This Row],[Unit Price Filled]])-(Table63[[#This Row],[Unit sold Filled]]*Table63[[#This Row],[Unit Cost]])</f>
        <v>132081.84</v>
      </c>
      <c r="M242" s="27">
        <f>IF(Table63[[#This Row],[Total Revenue]]=0,0,Table63[[#This Row],[Profit]]/Table63[[#This Row],[Total Revenue]])</f>
        <v>0.72620784253957193</v>
      </c>
      <c r="N242" s="28" t="str">
        <f>YEAR(Table63[[#This Row],[Order Date]])&amp;"-"&amp;TEXT(Table63[[#This Row],[Order Date]],"mm")</f>
        <v>2023-08</v>
      </c>
      <c r="O242" s="22">
        <f>IF(Table63[[#This Row],[Unit sold Filled]]=0,0,Table63[[#This Row],[Total Revenue]]/Table63[[#This Row],[Unit sold Filled]])</f>
        <v>459.28999999999996</v>
      </c>
    </row>
    <row r="243" spans="1:15" ht="15" thickBot="1" x14ac:dyDescent="0.35">
      <c r="A243" s="1" t="s">
        <v>270</v>
      </c>
      <c r="B243" s="3" t="s">
        <v>11</v>
      </c>
      <c r="C243" s="1" t="s">
        <v>26</v>
      </c>
      <c r="D243" t="s">
        <v>42</v>
      </c>
      <c r="E243" s="1" t="s">
        <v>24</v>
      </c>
      <c r="F243" s="1" t="s">
        <v>20</v>
      </c>
      <c r="G243" s="2">
        <v>45168</v>
      </c>
      <c r="H243" s="24">
        <v>358</v>
      </c>
      <c r="I243" s="23">
        <v>215.14</v>
      </c>
      <c r="J243" s="3">
        <v>297.45</v>
      </c>
      <c r="K243">
        <v>77020.12</v>
      </c>
      <c r="L243" s="22">
        <f>(Table63[[#This Row],[Unit sold Filled]]*Table63[[#This Row],[Unit Price Filled]])-(Table63[[#This Row],[Unit sold Filled]]*Table63[[#This Row],[Unit Cost]])</f>
        <v>-29466.979999999996</v>
      </c>
      <c r="M243" s="27">
        <f>IF(Table63[[#This Row],[Total Revenue]]=0,0,Table63[[#This Row],[Profit]]/Table63[[#This Row],[Total Revenue]])</f>
        <v>-0.38258808217904616</v>
      </c>
      <c r="N243" s="28" t="str">
        <f>YEAR(Table63[[#This Row],[Order Date]])&amp;"-"&amp;TEXT(Table63[[#This Row],[Order Date]],"mm")</f>
        <v>2023-08</v>
      </c>
      <c r="O243" s="22">
        <f>IF(Table63[[#This Row],[Unit sold Filled]]=0,0,Table63[[#This Row],[Total Revenue]]/Table63[[#This Row],[Unit sold Filled]])</f>
        <v>215.14</v>
      </c>
    </row>
    <row r="244" spans="1:15" ht="15" thickBot="1" x14ac:dyDescent="0.35">
      <c r="A244" s="15" t="s">
        <v>271</v>
      </c>
      <c r="B244" s="17" t="s">
        <v>17</v>
      </c>
      <c r="C244" s="15" t="s">
        <v>31</v>
      </c>
      <c r="D244" t="s">
        <v>13</v>
      </c>
      <c r="E244" s="15" t="s">
        <v>14</v>
      </c>
      <c r="F244" s="15" t="s">
        <v>20</v>
      </c>
      <c r="G244" s="18">
        <v>45169</v>
      </c>
      <c r="H244" s="24">
        <v>457</v>
      </c>
      <c r="I244" s="23">
        <v>48.08</v>
      </c>
      <c r="J244" s="17">
        <v>326.42</v>
      </c>
      <c r="K244">
        <v>21972.559999999998</v>
      </c>
      <c r="L244" s="22">
        <f>(Table63[[#This Row],[Unit sold Filled]]*Table63[[#This Row],[Unit Price Filled]])-(Table63[[#This Row],[Unit sold Filled]]*Table63[[#This Row],[Unit Cost]])</f>
        <v>-127201.38</v>
      </c>
      <c r="M244" s="27">
        <f>IF(Table63[[#This Row],[Total Revenue]]=0,0,Table63[[#This Row],[Profit]]/Table63[[#This Row],[Total Revenue]])</f>
        <v>-5.7891014975041601</v>
      </c>
      <c r="N244" s="28" t="str">
        <f>YEAR(Table63[[#This Row],[Order Date]])&amp;"-"&amp;TEXT(Table63[[#This Row],[Order Date]],"mm")</f>
        <v>2023-08</v>
      </c>
      <c r="O244" s="22">
        <f>IF(Table63[[#This Row],[Unit sold Filled]]=0,0,Table63[[#This Row],[Total Revenue]]/Table63[[#This Row],[Unit sold Filled]])</f>
        <v>48.08</v>
      </c>
    </row>
    <row r="245" spans="1:15" ht="15" thickBot="1" x14ac:dyDescent="0.35">
      <c r="A245" s="1" t="s">
        <v>272</v>
      </c>
      <c r="B245" s="3" t="s">
        <v>22</v>
      </c>
      <c r="C245" s="1" t="s">
        <v>18</v>
      </c>
      <c r="D245" t="s">
        <v>19</v>
      </c>
      <c r="E245" s="1" t="s">
        <v>14</v>
      </c>
      <c r="F245" s="1" t="s">
        <v>28</v>
      </c>
      <c r="G245" s="2">
        <v>45170</v>
      </c>
      <c r="H245" s="24">
        <v>437</v>
      </c>
      <c r="I245" s="23">
        <v>408.8</v>
      </c>
      <c r="J245" s="3">
        <v>246.76</v>
      </c>
      <c r="K245">
        <v>178645.6</v>
      </c>
      <c r="L245" s="22">
        <f>(Table63[[#This Row],[Unit sold Filled]]*Table63[[#This Row],[Unit Price Filled]])-(Table63[[#This Row],[Unit sold Filled]]*Table63[[#This Row],[Unit Cost]])</f>
        <v>70811.48000000001</v>
      </c>
      <c r="M245" s="27">
        <f>IF(Table63[[#This Row],[Total Revenue]]=0,0,Table63[[#This Row],[Profit]]/Table63[[#This Row],[Total Revenue]])</f>
        <v>0.39637964774951079</v>
      </c>
      <c r="N245" s="28" t="str">
        <f>YEAR(Table63[[#This Row],[Order Date]])&amp;"-"&amp;TEXT(Table63[[#This Row],[Order Date]],"mm")</f>
        <v>2023-09</v>
      </c>
      <c r="O245" s="22">
        <f>IF(Table63[[#This Row],[Unit sold Filled]]=0,0,Table63[[#This Row],[Total Revenue]]/Table63[[#This Row],[Unit sold Filled]])</f>
        <v>408.8</v>
      </c>
    </row>
    <row r="246" spans="1:15" ht="15" thickBot="1" x14ac:dyDescent="0.35">
      <c r="A246" s="15" t="s">
        <v>273</v>
      </c>
      <c r="B246" s="17" t="s">
        <v>11</v>
      </c>
      <c r="C246" s="15" t="s">
        <v>26</v>
      </c>
      <c r="D246" t="s">
        <v>27</v>
      </c>
      <c r="E246" s="15" t="s">
        <v>14</v>
      </c>
      <c r="F246" s="15" t="s">
        <v>15</v>
      </c>
      <c r="G246" s="18">
        <v>45171</v>
      </c>
      <c r="H246" s="24">
        <v>190</v>
      </c>
      <c r="I246" s="23">
        <v>189.89</v>
      </c>
      <c r="J246" s="17">
        <v>275.77999999999997</v>
      </c>
      <c r="K246">
        <v>36079.1</v>
      </c>
      <c r="L246" s="22">
        <f>(Table63[[#This Row],[Unit sold Filled]]*Table63[[#This Row],[Unit Price Filled]])-(Table63[[#This Row],[Unit sold Filled]]*Table63[[#This Row],[Unit Cost]])</f>
        <v>-16319.099999999999</v>
      </c>
      <c r="M246" s="27">
        <f>IF(Table63[[#This Row],[Total Revenue]]=0,0,Table63[[#This Row],[Profit]]/Table63[[#This Row],[Total Revenue]])</f>
        <v>-0.45231449786718625</v>
      </c>
      <c r="N246" s="28" t="str">
        <f>YEAR(Table63[[#This Row],[Order Date]])&amp;"-"&amp;TEXT(Table63[[#This Row],[Order Date]],"mm")</f>
        <v>2023-09</v>
      </c>
      <c r="O246" s="22">
        <f>IF(Table63[[#This Row],[Unit sold Filled]]=0,0,Table63[[#This Row],[Total Revenue]]/Table63[[#This Row],[Unit sold Filled]])</f>
        <v>189.89</v>
      </c>
    </row>
    <row r="247" spans="1:15" ht="15" thickBot="1" x14ac:dyDescent="0.35">
      <c r="A247" s="1" t="s">
        <v>274</v>
      </c>
      <c r="B247" s="3" t="s">
        <v>48</v>
      </c>
      <c r="C247" s="1" t="s">
        <v>50</v>
      </c>
      <c r="D247" t="s">
        <v>42</v>
      </c>
      <c r="E247" s="1" t="s">
        <v>24</v>
      </c>
      <c r="F247" s="1" t="s">
        <v>28</v>
      </c>
      <c r="G247" s="2">
        <v>45172</v>
      </c>
      <c r="H247" s="24">
        <v>33</v>
      </c>
      <c r="I247" s="23">
        <v>265.62</v>
      </c>
      <c r="J247" s="3">
        <v>151.35</v>
      </c>
      <c r="K247">
        <v>8765.4600000000009</v>
      </c>
      <c r="L247" s="22">
        <f>(Table63[[#This Row],[Unit sold Filled]]*Table63[[#This Row],[Unit Price Filled]])-(Table63[[#This Row],[Unit sold Filled]]*Table63[[#This Row],[Unit Cost]])</f>
        <v>3770.9100000000008</v>
      </c>
      <c r="M247" s="27">
        <f>IF(Table63[[#This Row],[Total Revenue]]=0,0,Table63[[#This Row],[Profit]]/Table63[[#This Row],[Total Revenue]])</f>
        <v>0.4302010390783827</v>
      </c>
      <c r="N247" s="28" t="str">
        <f>YEAR(Table63[[#This Row],[Order Date]])&amp;"-"&amp;TEXT(Table63[[#This Row],[Order Date]],"mm")</f>
        <v>2023-09</v>
      </c>
      <c r="O247" s="22">
        <f>IF(Table63[[#This Row],[Unit sold Filled]]=0,0,Table63[[#This Row],[Total Revenue]]/Table63[[#This Row],[Unit sold Filled]])</f>
        <v>265.62</v>
      </c>
    </row>
    <row r="248" spans="1:15" ht="15" thickBot="1" x14ac:dyDescent="0.35">
      <c r="A248" s="15" t="s">
        <v>275</v>
      </c>
      <c r="B248" s="17" t="s">
        <v>22</v>
      </c>
      <c r="C248" s="15" t="s">
        <v>26</v>
      </c>
      <c r="D248" t="s">
        <v>42</v>
      </c>
      <c r="E248" s="15" t="s">
        <v>14</v>
      </c>
      <c r="F248" s="15" t="s">
        <v>15</v>
      </c>
      <c r="G248" s="18">
        <v>45173</v>
      </c>
      <c r="H248" s="24">
        <v>325</v>
      </c>
      <c r="I248" s="23">
        <v>60.59</v>
      </c>
      <c r="J248" s="17">
        <v>216.4</v>
      </c>
      <c r="K248">
        <v>19691.75</v>
      </c>
      <c r="L248" s="22">
        <f>(Table63[[#This Row],[Unit sold Filled]]*Table63[[#This Row],[Unit Price Filled]])-(Table63[[#This Row],[Unit sold Filled]]*Table63[[#This Row],[Unit Cost]])</f>
        <v>-50638.25</v>
      </c>
      <c r="M248" s="27">
        <f>IF(Table63[[#This Row],[Total Revenue]]=0,0,Table63[[#This Row],[Profit]]/Table63[[#This Row],[Total Revenue]])</f>
        <v>-2.57154645981185</v>
      </c>
      <c r="N248" s="28" t="str">
        <f>YEAR(Table63[[#This Row],[Order Date]])&amp;"-"&amp;TEXT(Table63[[#This Row],[Order Date]],"mm")</f>
        <v>2023-09</v>
      </c>
      <c r="O248" s="22">
        <f>IF(Table63[[#This Row],[Unit sold Filled]]=0,0,Table63[[#This Row],[Total Revenue]]/Table63[[#This Row],[Unit sold Filled]])</f>
        <v>60.59</v>
      </c>
    </row>
    <row r="249" spans="1:15" ht="15" thickBot="1" x14ac:dyDescent="0.35">
      <c r="A249" s="1" t="s">
        <v>276</v>
      </c>
      <c r="B249" s="3" t="s">
        <v>22</v>
      </c>
      <c r="C249" s="1" t="s">
        <v>26</v>
      </c>
      <c r="D249" t="s">
        <v>27</v>
      </c>
      <c r="E249" s="1" t="s">
        <v>24</v>
      </c>
      <c r="F249" s="1" t="s">
        <v>15</v>
      </c>
      <c r="G249" s="2">
        <v>45174</v>
      </c>
      <c r="H249" s="24">
        <v>387</v>
      </c>
      <c r="I249" s="23">
        <v>6.28</v>
      </c>
      <c r="J249" s="3">
        <v>210.62</v>
      </c>
      <c r="K249">
        <v>2430.36</v>
      </c>
      <c r="L249" s="22">
        <f>(Table63[[#This Row],[Unit sold Filled]]*Table63[[#This Row],[Unit Price Filled]])-(Table63[[#This Row],[Unit sold Filled]]*Table63[[#This Row],[Unit Cost]])</f>
        <v>-79079.58</v>
      </c>
      <c r="M249" s="27">
        <f>IF(Table63[[#This Row],[Total Revenue]]=0,0,Table63[[#This Row],[Profit]]/Table63[[#This Row],[Total Revenue]])</f>
        <v>-32.538216560509554</v>
      </c>
      <c r="N249" s="28" t="str">
        <f>YEAR(Table63[[#This Row],[Order Date]])&amp;"-"&amp;TEXT(Table63[[#This Row],[Order Date]],"mm")</f>
        <v>2023-09</v>
      </c>
      <c r="O249" s="22">
        <f>IF(Table63[[#This Row],[Unit sold Filled]]=0,0,Table63[[#This Row],[Total Revenue]]/Table63[[#This Row],[Unit sold Filled]])</f>
        <v>6.28</v>
      </c>
    </row>
    <row r="250" spans="1:15" ht="15" thickBot="1" x14ac:dyDescent="0.35">
      <c r="A250" s="15" t="s">
        <v>277</v>
      </c>
      <c r="B250" s="17" t="s">
        <v>22</v>
      </c>
      <c r="C250" s="15" t="s">
        <v>26</v>
      </c>
      <c r="D250" t="s">
        <v>19</v>
      </c>
      <c r="E250" s="15" t="s">
        <v>14</v>
      </c>
      <c r="F250" s="15" t="s">
        <v>28</v>
      </c>
      <c r="G250" s="18">
        <v>45175</v>
      </c>
      <c r="H250" s="24">
        <v>396</v>
      </c>
      <c r="I250" s="23">
        <v>320.8</v>
      </c>
      <c r="J250" s="17">
        <v>339.52</v>
      </c>
      <c r="K250">
        <v>127036.8</v>
      </c>
      <c r="L250" s="22">
        <f>(Table63[[#This Row],[Unit sold Filled]]*Table63[[#This Row],[Unit Price Filled]])-(Table63[[#This Row],[Unit sold Filled]]*Table63[[#This Row],[Unit Cost]])</f>
        <v>-7413.1199999999808</v>
      </c>
      <c r="M250" s="27">
        <f>IF(Table63[[#This Row],[Total Revenue]]=0,0,Table63[[#This Row],[Profit]]/Table63[[#This Row],[Total Revenue]])</f>
        <v>-5.8354114713216804E-2</v>
      </c>
      <c r="N250" s="28" t="str">
        <f>YEAR(Table63[[#This Row],[Order Date]])&amp;"-"&amp;TEXT(Table63[[#This Row],[Order Date]],"mm")</f>
        <v>2023-09</v>
      </c>
      <c r="O250" s="22">
        <f>IF(Table63[[#This Row],[Unit sold Filled]]=0,0,Table63[[#This Row],[Total Revenue]]/Table63[[#This Row],[Unit sold Filled]])</f>
        <v>320.8</v>
      </c>
    </row>
    <row r="251" spans="1:15" ht="15" thickBot="1" x14ac:dyDescent="0.35">
      <c r="A251" s="1" t="s">
        <v>278</v>
      </c>
      <c r="B251" s="3" t="s">
        <v>11</v>
      </c>
      <c r="C251" s="1" t="s">
        <v>26</v>
      </c>
      <c r="D251" t="s">
        <v>42</v>
      </c>
      <c r="E251" s="1" t="s">
        <v>14</v>
      </c>
      <c r="F251" s="1" t="s">
        <v>15</v>
      </c>
      <c r="G251" s="2">
        <v>45176</v>
      </c>
      <c r="H251" s="24">
        <v>413</v>
      </c>
      <c r="I251" s="23">
        <v>260.01</v>
      </c>
      <c r="J251" s="3">
        <v>336.31</v>
      </c>
      <c r="K251">
        <v>107384.12999999999</v>
      </c>
      <c r="L251" s="22">
        <f>(Table63[[#This Row],[Unit sold Filled]]*Table63[[#This Row],[Unit Price Filled]])-(Table63[[#This Row],[Unit sold Filled]]*Table63[[#This Row],[Unit Cost]])</f>
        <v>-31511.900000000009</v>
      </c>
      <c r="M251" s="27">
        <f>IF(Table63[[#This Row],[Total Revenue]]=0,0,Table63[[#This Row],[Profit]]/Table63[[#This Row],[Total Revenue]])</f>
        <v>-0.29345025191338808</v>
      </c>
      <c r="N251" s="28" t="str">
        <f>YEAR(Table63[[#This Row],[Order Date]])&amp;"-"&amp;TEXT(Table63[[#This Row],[Order Date]],"mm")</f>
        <v>2023-09</v>
      </c>
      <c r="O251" s="22">
        <f>IF(Table63[[#This Row],[Unit sold Filled]]=0,0,Table63[[#This Row],[Total Revenue]]/Table63[[#This Row],[Unit sold Filled]])</f>
        <v>260.01</v>
      </c>
    </row>
    <row r="252" spans="1:15" ht="15" thickBot="1" x14ac:dyDescent="0.35">
      <c r="A252" s="15" t="s">
        <v>279</v>
      </c>
      <c r="B252" s="17" t="s">
        <v>48</v>
      </c>
      <c r="C252" s="15" t="s">
        <v>31</v>
      </c>
      <c r="D252" t="s">
        <v>42</v>
      </c>
      <c r="E252" s="15" t="s">
        <v>14</v>
      </c>
      <c r="F252" s="15" t="s">
        <v>15</v>
      </c>
      <c r="G252" s="18">
        <v>45177</v>
      </c>
      <c r="H252" s="24">
        <v>255.90294117647059</v>
      </c>
      <c r="I252" s="23">
        <v>298.8</v>
      </c>
      <c r="J252" s="17">
        <v>333.41</v>
      </c>
      <c r="K252">
        <v>76463.798823529418</v>
      </c>
      <c r="L252" s="22">
        <f>(Table63[[#This Row],[Unit sold Filled]]*Table63[[#This Row],[Unit Price Filled]])-(Table63[[#This Row],[Unit sold Filled]]*Table63[[#This Row],[Unit Cost]])</f>
        <v>-8856.8007941176475</v>
      </c>
      <c r="M252" s="27">
        <f>IF(Table63[[#This Row],[Total Revenue]]=0,0,Table63[[#This Row],[Profit]]/Table63[[#This Row],[Total Revenue]])</f>
        <v>-0.11582998661311913</v>
      </c>
      <c r="N252" s="28" t="str">
        <f>YEAR(Table63[[#This Row],[Order Date]])&amp;"-"&amp;TEXT(Table63[[#This Row],[Order Date]],"mm")</f>
        <v>2023-09</v>
      </c>
      <c r="O252" s="22">
        <f>IF(Table63[[#This Row],[Unit sold Filled]]=0,0,Table63[[#This Row],[Total Revenue]]/Table63[[#This Row],[Unit sold Filled]])</f>
        <v>298.8</v>
      </c>
    </row>
    <row r="253" spans="1:15" ht="15" thickBot="1" x14ac:dyDescent="0.35">
      <c r="A253" s="1" t="s">
        <v>280</v>
      </c>
      <c r="B253" s="3" t="s">
        <v>22</v>
      </c>
      <c r="C253" s="1" t="s">
        <v>18</v>
      </c>
      <c r="D253" t="s">
        <v>13</v>
      </c>
      <c r="E253" s="1" t="s">
        <v>24</v>
      </c>
      <c r="F253" s="1" t="s">
        <v>20</v>
      </c>
      <c r="G253" s="2">
        <v>45178</v>
      </c>
      <c r="H253" s="24">
        <v>24</v>
      </c>
      <c r="I253" s="23">
        <v>397.9</v>
      </c>
      <c r="J253" s="3">
        <v>6.39</v>
      </c>
      <c r="K253">
        <v>9549.5999999999985</v>
      </c>
      <c r="L253" s="22">
        <f>(Table63[[#This Row],[Unit sold Filled]]*Table63[[#This Row],[Unit Price Filled]])-(Table63[[#This Row],[Unit sold Filled]]*Table63[[#This Row],[Unit Cost]])</f>
        <v>9396.239999999998</v>
      </c>
      <c r="M253" s="27">
        <f>IF(Table63[[#This Row],[Total Revenue]]=0,0,Table63[[#This Row],[Profit]]/Table63[[#This Row],[Total Revenue]])</f>
        <v>0.98394068861522987</v>
      </c>
      <c r="N253" s="28" t="str">
        <f>YEAR(Table63[[#This Row],[Order Date]])&amp;"-"&amp;TEXT(Table63[[#This Row],[Order Date]],"mm")</f>
        <v>2023-09</v>
      </c>
      <c r="O253" s="22">
        <f>IF(Table63[[#This Row],[Unit sold Filled]]=0,0,Table63[[#This Row],[Total Revenue]]/Table63[[#This Row],[Unit sold Filled]])</f>
        <v>397.89999999999992</v>
      </c>
    </row>
    <row r="254" spans="1:15" ht="15" thickBot="1" x14ac:dyDescent="0.35">
      <c r="A254" s="15" t="s">
        <v>281</v>
      </c>
      <c r="B254" s="17" t="s">
        <v>17</v>
      </c>
      <c r="C254" s="15" t="s">
        <v>12</v>
      </c>
      <c r="D254" t="s">
        <v>389</v>
      </c>
      <c r="E254" s="15" t="s">
        <v>14</v>
      </c>
      <c r="F254" s="15" t="s">
        <v>15</v>
      </c>
      <c r="G254" s="18">
        <v>45179</v>
      </c>
      <c r="H254" s="24">
        <v>162</v>
      </c>
      <c r="I254" s="23">
        <v>325.07</v>
      </c>
      <c r="J254" s="17">
        <v>300.32</v>
      </c>
      <c r="K254">
        <v>52661.34</v>
      </c>
      <c r="L254" s="22">
        <f>(Table63[[#This Row],[Unit sold Filled]]*Table63[[#This Row],[Unit Price Filled]])-(Table63[[#This Row],[Unit sold Filled]]*Table63[[#This Row],[Unit Cost]])</f>
        <v>4009.5</v>
      </c>
      <c r="M254" s="27">
        <f>IF(Table63[[#This Row],[Total Revenue]]=0,0,Table63[[#This Row],[Profit]]/Table63[[#This Row],[Total Revenue]])</f>
        <v>7.6137447319038987E-2</v>
      </c>
      <c r="N254" s="28" t="str">
        <f>YEAR(Table63[[#This Row],[Order Date]])&amp;"-"&amp;TEXT(Table63[[#This Row],[Order Date]],"mm")</f>
        <v>2023-09</v>
      </c>
      <c r="O254" s="22">
        <f>IF(Table63[[#This Row],[Unit sold Filled]]=0,0,Table63[[#This Row],[Total Revenue]]/Table63[[#This Row],[Unit sold Filled]])</f>
        <v>325.07</v>
      </c>
    </row>
    <row r="255" spans="1:15" ht="15" thickBot="1" x14ac:dyDescent="0.35">
      <c r="A255" s="1" t="s">
        <v>282</v>
      </c>
      <c r="B255" s="3" t="s">
        <v>22</v>
      </c>
      <c r="C255" s="1" t="s">
        <v>26</v>
      </c>
      <c r="D255" t="s">
        <v>42</v>
      </c>
      <c r="E255" s="1" t="s">
        <v>24</v>
      </c>
      <c r="F255" s="1" t="s">
        <v>28</v>
      </c>
      <c r="G255" s="2">
        <v>45180</v>
      </c>
      <c r="H255" s="24">
        <v>231</v>
      </c>
      <c r="I255" s="23">
        <v>91.51</v>
      </c>
      <c r="J255" s="3">
        <v>303.95</v>
      </c>
      <c r="K255">
        <v>21138.81</v>
      </c>
      <c r="L255" s="22">
        <f>(Table63[[#This Row],[Unit sold Filled]]*Table63[[#This Row],[Unit Price Filled]])-(Table63[[#This Row],[Unit sold Filled]]*Table63[[#This Row],[Unit Cost]])</f>
        <v>-49073.64</v>
      </c>
      <c r="M255" s="27">
        <f>IF(Table63[[#This Row],[Total Revenue]]=0,0,Table63[[#This Row],[Profit]]/Table63[[#This Row],[Total Revenue]])</f>
        <v>-2.3214949185881322</v>
      </c>
      <c r="N255" s="28" t="str">
        <f>YEAR(Table63[[#This Row],[Order Date]])&amp;"-"&amp;TEXT(Table63[[#This Row],[Order Date]],"mm")</f>
        <v>2023-09</v>
      </c>
      <c r="O255" s="22">
        <f>IF(Table63[[#This Row],[Unit sold Filled]]=0,0,Table63[[#This Row],[Total Revenue]]/Table63[[#This Row],[Unit sold Filled]])</f>
        <v>91.51</v>
      </c>
    </row>
    <row r="256" spans="1:15" ht="15" thickBot="1" x14ac:dyDescent="0.35">
      <c r="A256" s="15" t="s">
        <v>283</v>
      </c>
      <c r="B256" s="17" t="s">
        <v>22</v>
      </c>
      <c r="C256" s="15" t="s">
        <v>50</v>
      </c>
      <c r="D256" t="s">
        <v>19</v>
      </c>
      <c r="E256" s="15" t="s">
        <v>24</v>
      </c>
      <c r="F256" s="15" t="s">
        <v>28</v>
      </c>
      <c r="G256" s="18">
        <v>45181</v>
      </c>
      <c r="H256" s="24">
        <v>215</v>
      </c>
      <c r="I256" s="23">
        <v>183.58</v>
      </c>
      <c r="J256" s="17">
        <v>271.99</v>
      </c>
      <c r="K256">
        <v>39469.700000000004</v>
      </c>
      <c r="L256" s="22">
        <f>(Table63[[#This Row],[Unit sold Filled]]*Table63[[#This Row],[Unit Price Filled]])-(Table63[[#This Row],[Unit sold Filled]]*Table63[[#This Row],[Unit Cost]])</f>
        <v>-19008.149999999994</v>
      </c>
      <c r="M256" s="27">
        <f>IF(Table63[[#This Row],[Total Revenue]]=0,0,Table63[[#This Row],[Profit]]/Table63[[#This Row],[Total Revenue]])</f>
        <v>-0.4815884083233466</v>
      </c>
      <c r="N256" s="28" t="str">
        <f>YEAR(Table63[[#This Row],[Order Date]])&amp;"-"&amp;TEXT(Table63[[#This Row],[Order Date]],"mm")</f>
        <v>2023-09</v>
      </c>
      <c r="O256" s="22">
        <f>IF(Table63[[#This Row],[Unit sold Filled]]=0,0,Table63[[#This Row],[Total Revenue]]/Table63[[#This Row],[Unit sold Filled]])</f>
        <v>183.58</v>
      </c>
    </row>
    <row r="257" spans="1:15" ht="15" thickBot="1" x14ac:dyDescent="0.35">
      <c r="A257" s="1" t="s">
        <v>284</v>
      </c>
      <c r="B257" s="3" t="s">
        <v>11</v>
      </c>
      <c r="C257" s="1" t="s">
        <v>26</v>
      </c>
      <c r="D257" t="s">
        <v>27</v>
      </c>
      <c r="E257" s="1" t="s">
        <v>24</v>
      </c>
      <c r="F257" s="1" t="s">
        <v>15</v>
      </c>
      <c r="G257" s="2">
        <v>45182</v>
      </c>
      <c r="H257" s="24">
        <v>464</v>
      </c>
      <c r="I257" s="23">
        <v>453.42</v>
      </c>
      <c r="J257" s="3">
        <v>302.99</v>
      </c>
      <c r="K257">
        <v>210386.88</v>
      </c>
      <c r="L257" s="22">
        <f>(Table63[[#This Row],[Unit sold Filled]]*Table63[[#This Row],[Unit Price Filled]])-(Table63[[#This Row],[Unit sold Filled]]*Table63[[#This Row],[Unit Cost]])</f>
        <v>69799.51999999999</v>
      </c>
      <c r="M257" s="27">
        <f>IF(Table63[[#This Row],[Total Revenue]]=0,0,Table63[[#This Row],[Profit]]/Table63[[#This Row],[Total Revenue]])</f>
        <v>0.33176745622160464</v>
      </c>
      <c r="N257" s="28" t="str">
        <f>YEAR(Table63[[#This Row],[Order Date]])&amp;"-"&amp;TEXT(Table63[[#This Row],[Order Date]],"mm")</f>
        <v>2023-09</v>
      </c>
      <c r="O257" s="22">
        <f>IF(Table63[[#This Row],[Unit sold Filled]]=0,0,Table63[[#This Row],[Total Revenue]]/Table63[[#This Row],[Unit sold Filled]])</f>
        <v>453.42</v>
      </c>
    </row>
    <row r="258" spans="1:15" ht="15" thickBot="1" x14ac:dyDescent="0.35">
      <c r="A258" s="15" t="s">
        <v>285</v>
      </c>
      <c r="B258" s="17" t="s">
        <v>11</v>
      </c>
      <c r="C258" s="15" t="s">
        <v>50</v>
      </c>
      <c r="D258" t="s">
        <v>23</v>
      </c>
      <c r="E258" s="15" t="s">
        <v>14</v>
      </c>
      <c r="F258" s="15" t="s">
        <v>20</v>
      </c>
      <c r="G258" s="18">
        <v>45183</v>
      </c>
      <c r="H258" s="24">
        <v>282</v>
      </c>
      <c r="I258" s="23">
        <v>249.64520588235297</v>
      </c>
      <c r="J258" s="17">
        <v>337.1</v>
      </c>
      <c r="K258">
        <v>70399.948058823531</v>
      </c>
      <c r="L258" s="22">
        <f>(Table63[[#This Row],[Unit sold Filled]]*Table63[[#This Row],[Unit Price Filled]])-(Table63[[#This Row],[Unit sold Filled]]*Table63[[#This Row],[Unit Cost]])</f>
        <v>-24662.251941176481</v>
      </c>
      <c r="M258" s="27">
        <f>IF(Table63[[#This Row],[Total Revenue]]=0,0,Table63[[#This Row],[Profit]]/Table63[[#This Row],[Total Revenue]])</f>
        <v>-0.35031633717356775</v>
      </c>
      <c r="N258" s="28" t="str">
        <f>YEAR(Table63[[#This Row],[Order Date]])&amp;"-"&amp;TEXT(Table63[[#This Row],[Order Date]],"mm")</f>
        <v>2023-09</v>
      </c>
      <c r="O258" s="22">
        <f>IF(Table63[[#This Row],[Unit sold Filled]]=0,0,Table63[[#This Row],[Total Revenue]]/Table63[[#This Row],[Unit sold Filled]])</f>
        <v>249.64520588235294</v>
      </c>
    </row>
    <row r="259" spans="1:15" ht="15" thickBot="1" x14ac:dyDescent="0.35">
      <c r="A259" s="1" t="s">
        <v>286</v>
      </c>
      <c r="B259" s="3" t="s">
        <v>48</v>
      </c>
      <c r="C259" s="1" t="s">
        <v>31</v>
      </c>
      <c r="D259" t="s">
        <v>42</v>
      </c>
      <c r="E259" s="1" t="s">
        <v>14</v>
      </c>
      <c r="F259" s="1" t="s">
        <v>20</v>
      </c>
      <c r="G259" s="2">
        <v>45184</v>
      </c>
      <c r="H259" s="24">
        <v>391</v>
      </c>
      <c r="I259" s="23">
        <v>280.54000000000002</v>
      </c>
      <c r="J259" s="3">
        <v>189.19</v>
      </c>
      <c r="K259">
        <v>109691.14000000001</v>
      </c>
      <c r="L259" s="22">
        <f>(Table63[[#This Row],[Unit sold Filled]]*Table63[[#This Row],[Unit Price Filled]])-(Table63[[#This Row],[Unit sold Filled]]*Table63[[#This Row],[Unit Cost]])</f>
        <v>35717.85000000002</v>
      </c>
      <c r="M259" s="27">
        <f>IF(Table63[[#This Row],[Total Revenue]]=0,0,Table63[[#This Row],[Profit]]/Table63[[#This Row],[Total Revenue]])</f>
        <v>0.32562201468596291</v>
      </c>
      <c r="N259" s="28" t="str">
        <f>YEAR(Table63[[#This Row],[Order Date]])&amp;"-"&amp;TEXT(Table63[[#This Row],[Order Date]],"mm")</f>
        <v>2023-09</v>
      </c>
      <c r="O259" s="22">
        <f>IF(Table63[[#This Row],[Unit sold Filled]]=0,0,Table63[[#This Row],[Total Revenue]]/Table63[[#This Row],[Unit sold Filled]])</f>
        <v>280.54000000000002</v>
      </c>
    </row>
    <row r="260" spans="1:15" ht="15" thickBot="1" x14ac:dyDescent="0.35">
      <c r="A260" s="15" t="s">
        <v>287</v>
      </c>
      <c r="B260" s="17" t="s">
        <v>17</v>
      </c>
      <c r="C260" s="15" t="s">
        <v>50</v>
      </c>
      <c r="D260" t="s">
        <v>13</v>
      </c>
      <c r="E260" s="15" t="s">
        <v>14</v>
      </c>
      <c r="F260" s="15" t="s">
        <v>15</v>
      </c>
      <c r="G260" s="18">
        <v>45185</v>
      </c>
      <c r="H260" s="24">
        <v>245</v>
      </c>
      <c r="I260" s="23">
        <v>131.54</v>
      </c>
      <c r="J260" s="17">
        <v>201.82</v>
      </c>
      <c r="K260">
        <v>32227.3</v>
      </c>
      <c r="L260" s="22">
        <f>(Table63[[#This Row],[Unit sold Filled]]*Table63[[#This Row],[Unit Price Filled]])-(Table63[[#This Row],[Unit sold Filled]]*Table63[[#This Row],[Unit Cost]])</f>
        <v>-17218.600000000002</v>
      </c>
      <c r="M260" s="27">
        <f>IF(Table63[[#This Row],[Total Revenue]]=0,0,Table63[[#This Row],[Profit]]/Table63[[#This Row],[Total Revenue]])</f>
        <v>-0.53428614870001534</v>
      </c>
      <c r="N260" s="28" t="str">
        <f>YEAR(Table63[[#This Row],[Order Date]])&amp;"-"&amp;TEXT(Table63[[#This Row],[Order Date]],"mm")</f>
        <v>2023-09</v>
      </c>
      <c r="O260" s="22">
        <f>IF(Table63[[#This Row],[Unit sold Filled]]=0,0,Table63[[#This Row],[Total Revenue]]/Table63[[#This Row],[Unit sold Filled]])</f>
        <v>131.54</v>
      </c>
    </row>
    <row r="261" spans="1:15" ht="15" thickBot="1" x14ac:dyDescent="0.35">
      <c r="A261" s="1" t="s">
        <v>288</v>
      </c>
      <c r="B261" s="3" t="s">
        <v>11</v>
      </c>
      <c r="C261" s="1" t="s">
        <v>12</v>
      </c>
      <c r="D261" t="s">
        <v>27</v>
      </c>
      <c r="E261" s="1" t="s">
        <v>14</v>
      </c>
      <c r="F261" s="1" t="s">
        <v>15</v>
      </c>
      <c r="G261" s="2">
        <v>45186</v>
      </c>
      <c r="H261" s="24">
        <v>349</v>
      </c>
      <c r="I261" s="23">
        <v>154.52000000000001</v>
      </c>
      <c r="J261" s="3">
        <v>51.64</v>
      </c>
      <c r="K261">
        <v>53927.48</v>
      </c>
      <c r="L261" s="22">
        <f>(Table63[[#This Row],[Unit sold Filled]]*Table63[[#This Row],[Unit Price Filled]])-(Table63[[#This Row],[Unit sold Filled]]*Table63[[#This Row],[Unit Cost]])</f>
        <v>35905.120000000003</v>
      </c>
      <c r="M261" s="27">
        <f>IF(Table63[[#This Row],[Total Revenue]]=0,0,Table63[[#This Row],[Profit]]/Table63[[#This Row],[Total Revenue]])</f>
        <v>0.66580377944602642</v>
      </c>
      <c r="N261" s="28" t="str">
        <f>YEAR(Table63[[#This Row],[Order Date]])&amp;"-"&amp;TEXT(Table63[[#This Row],[Order Date]],"mm")</f>
        <v>2023-09</v>
      </c>
      <c r="O261" s="22">
        <f>IF(Table63[[#This Row],[Unit sold Filled]]=0,0,Table63[[#This Row],[Total Revenue]]/Table63[[#This Row],[Unit sold Filled]])</f>
        <v>154.52000000000001</v>
      </c>
    </row>
    <row r="262" spans="1:15" ht="15" thickBot="1" x14ac:dyDescent="0.35">
      <c r="A262" s="15" t="s">
        <v>289</v>
      </c>
      <c r="B262" s="17" t="s">
        <v>22</v>
      </c>
      <c r="C262" s="15" t="s">
        <v>18</v>
      </c>
      <c r="D262" t="s">
        <v>19</v>
      </c>
      <c r="E262" s="15" t="s">
        <v>24</v>
      </c>
      <c r="F262" s="15" t="s">
        <v>28</v>
      </c>
      <c r="G262" s="18">
        <v>45187</v>
      </c>
      <c r="H262" s="24">
        <v>237</v>
      </c>
      <c r="I262" s="23">
        <v>249.64520588235297</v>
      </c>
      <c r="J262" s="17">
        <v>155.38</v>
      </c>
      <c r="K262">
        <v>59165.913794117652</v>
      </c>
      <c r="L262" s="22">
        <f>(Table63[[#This Row],[Unit sold Filled]]*Table63[[#This Row],[Unit Price Filled]])-(Table63[[#This Row],[Unit sold Filled]]*Table63[[#This Row],[Unit Cost]])</f>
        <v>22340.853794117655</v>
      </c>
      <c r="M262" s="27">
        <f>IF(Table63[[#This Row],[Total Revenue]]=0,0,Table63[[#This Row],[Profit]]/Table63[[#This Row],[Total Revenue]])</f>
        <v>0.3775966998812551</v>
      </c>
      <c r="N262" s="28" t="str">
        <f>YEAR(Table63[[#This Row],[Order Date]])&amp;"-"&amp;TEXT(Table63[[#This Row],[Order Date]],"mm")</f>
        <v>2023-09</v>
      </c>
      <c r="O262" s="22">
        <f>IF(Table63[[#This Row],[Unit sold Filled]]=0,0,Table63[[#This Row],[Total Revenue]]/Table63[[#This Row],[Unit sold Filled]])</f>
        <v>249.64520588235297</v>
      </c>
    </row>
    <row r="263" spans="1:15" ht="15" thickBot="1" x14ac:dyDescent="0.35">
      <c r="A263" s="1" t="s">
        <v>290</v>
      </c>
      <c r="B263" s="3" t="s">
        <v>48</v>
      </c>
      <c r="C263" s="1" t="s">
        <v>50</v>
      </c>
      <c r="D263" t="s">
        <v>27</v>
      </c>
      <c r="E263" s="1" t="s">
        <v>24</v>
      </c>
      <c r="F263" s="1" t="s">
        <v>15</v>
      </c>
      <c r="G263" s="2">
        <v>45188</v>
      </c>
      <c r="H263" s="24">
        <v>18</v>
      </c>
      <c r="I263" s="23">
        <v>426.33</v>
      </c>
      <c r="J263" s="3">
        <v>258.06</v>
      </c>
      <c r="K263">
        <v>7673.94</v>
      </c>
      <c r="L263" s="22">
        <f>(Table63[[#This Row],[Unit sold Filled]]*Table63[[#This Row],[Unit Price Filled]])-(Table63[[#This Row],[Unit sold Filled]]*Table63[[#This Row],[Unit Cost]])</f>
        <v>3028.8599999999997</v>
      </c>
      <c r="M263" s="27">
        <f>IF(Table63[[#This Row],[Total Revenue]]=0,0,Table63[[#This Row],[Profit]]/Table63[[#This Row],[Total Revenue]])</f>
        <v>0.39469425093237631</v>
      </c>
      <c r="N263" s="28" t="str">
        <f>YEAR(Table63[[#This Row],[Order Date]])&amp;"-"&amp;TEXT(Table63[[#This Row],[Order Date]],"mm")</f>
        <v>2023-09</v>
      </c>
      <c r="O263" s="22">
        <f>IF(Table63[[#This Row],[Unit sold Filled]]=0,0,Table63[[#This Row],[Total Revenue]]/Table63[[#This Row],[Unit sold Filled]])</f>
        <v>426.33</v>
      </c>
    </row>
    <row r="264" spans="1:15" ht="15" thickBot="1" x14ac:dyDescent="0.35">
      <c r="A264" s="15" t="s">
        <v>291</v>
      </c>
      <c r="B264" s="17" t="s">
        <v>22</v>
      </c>
      <c r="C264" s="15" t="s">
        <v>50</v>
      </c>
      <c r="D264" t="s">
        <v>42</v>
      </c>
      <c r="E264" s="15" t="s">
        <v>24</v>
      </c>
      <c r="F264" s="15" t="s">
        <v>20</v>
      </c>
      <c r="G264" s="18">
        <v>45189</v>
      </c>
      <c r="H264" s="24">
        <v>175</v>
      </c>
      <c r="I264" s="23">
        <v>337.36</v>
      </c>
      <c r="J264" s="17">
        <v>312.60000000000002</v>
      </c>
      <c r="K264">
        <v>59038</v>
      </c>
      <c r="L264" s="22">
        <f>(Table63[[#This Row],[Unit sold Filled]]*Table63[[#This Row],[Unit Price Filled]])-(Table63[[#This Row],[Unit sold Filled]]*Table63[[#This Row],[Unit Cost]])</f>
        <v>4332.9999999999927</v>
      </c>
      <c r="M264" s="27">
        <f>IF(Table63[[#This Row],[Total Revenue]]=0,0,Table63[[#This Row],[Profit]]/Table63[[#This Row],[Total Revenue]])</f>
        <v>7.3393407635759897E-2</v>
      </c>
      <c r="N264" s="28" t="str">
        <f>YEAR(Table63[[#This Row],[Order Date]])&amp;"-"&amp;TEXT(Table63[[#This Row],[Order Date]],"mm")</f>
        <v>2023-09</v>
      </c>
      <c r="O264" s="22">
        <f>IF(Table63[[#This Row],[Unit sold Filled]]=0,0,Table63[[#This Row],[Total Revenue]]/Table63[[#This Row],[Unit sold Filled]])</f>
        <v>337.36</v>
      </c>
    </row>
    <row r="265" spans="1:15" ht="15" thickBot="1" x14ac:dyDescent="0.35">
      <c r="A265" s="1" t="s">
        <v>292</v>
      </c>
      <c r="B265" s="3" t="s">
        <v>22</v>
      </c>
      <c r="C265" s="1" t="s">
        <v>18</v>
      </c>
      <c r="D265" t="s">
        <v>389</v>
      </c>
      <c r="E265" s="1" t="s">
        <v>14</v>
      </c>
      <c r="F265" s="1" t="s">
        <v>15</v>
      </c>
      <c r="G265" s="2">
        <v>45190</v>
      </c>
      <c r="H265" s="24">
        <v>441</v>
      </c>
      <c r="I265" s="23">
        <v>405.72</v>
      </c>
      <c r="J265" s="3">
        <v>88.45</v>
      </c>
      <c r="K265">
        <v>178922.52000000002</v>
      </c>
      <c r="L265" s="22">
        <f>(Table63[[#This Row],[Unit sold Filled]]*Table63[[#This Row],[Unit Price Filled]])-(Table63[[#This Row],[Unit sold Filled]]*Table63[[#This Row],[Unit Cost]])</f>
        <v>139916.07</v>
      </c>
      <c r="M265" s="27">
        <f>IF(Table63[[#This Row],[Total Revenue]]=0,0,Table63[[#This Row],[Profit]]/Table63[[#This Row],[Total Revenue]])</f>
        <v>0.78199250714778656</v>
      </c>
      <c r="N265" s="28" t="str">
        <f>YEAR(Table63[[#This Row],[Order Date]])&amp;"-"&amp;TEXT(Table63[[#This Row],[Order Date]],"mm")</f>
        <v>2023-09</v>
      </c>
      <c r="O265" s="22">
        <f>IF(Table63[[#This Row],[Unit sold Filled]]=0,0,Table63[[#This Row],[Total Revenue]]/Table63[[#This Row],[Unit sold Filled]])</f>
        <v>405.72</v>
      </c>
    </row>
    <row r="266" spans="1:15" ht="15" thickBot="1" x14ac:dyDescent="0.35">
      <c r="A266" s="15" t="s">
        <v>293</v>
      </c>
      <c r="B266" s="17" t="s">
        <v>11</v>
      </c>
      <c r="C266" s="15" t="s">
        <v>12</v>
      </c>
      <c r="D266" t="s">
        <v>23</v>
      </c>
      <c r="E266" s="15" t="s">
        <v>24</v>
      </c>
      <c r="F266" s="15" t="s">
        <v>28</v>
      </c>
      <c r="G266" s="18">
        <v>45191</v>
      </c>
      <c r="H266" s="24">
        <v>453</v>
      </c>
      <c r="I266" s="23">
        <v>384.49</v>
      </c>
      <c r="J266" s="17">
        <v>56.85</v>
      </c>
      <c r="K266">
        <v>174173.97</v>
      </c>
      <c r="L266" s="22">
        <f>(Table63[[#This Row],[Unit sold Filled]]*Table63[[#This Row],[Unit Price Filled]])-(Table63[[#This Row],[Unit sold Filled]]*Table63[[#This Row],[Unit Cost]])</f>
        <v>148420.92000000001</v>
      </c>
      <c r="M266" s="27">
        <f>IF(Table63[[#This Row],[Total Revenue]]=0,0,Table63[[#This Row],[Profit]]/Table63[[#This Row],[Total Revenue]])</f>
        <v>0.85214179822622182</v>
      </c>
      <c r="N266" s="28" t="str">
        <f>YEAR(Table63[[#This Row],[Order Date]])&amp;"-"&amp;TEXT(Table63[[#This Row],[Order Date]],"mm")</f>
        <v>2023-09</v>
      </c>
      <c r="O266" s="22">
        <f>IF(Table63[[#This Row],[Unit sold Filled]]=0,0,Table63[[#This Row],[Total Revenue]]/Table63[[#This Row],[Unit sold Filled]])</f>
        <v>384.49</v>
      </c>
    </row>
    <row r="267" spans="1:15" ht="15" thickBot="1" x14ac:dyDescent="0.35">
      <c r="A267" s="1" t="s">
        <v>294</v>
      </c>
      <c r="B267" s="3" t="s">
        <v>48</v>
      </c>
      <c r="C267" s="1" t="s">
        <v>26</v>
      </c>
      <c r="D267" t="s">
        <v>27</v>
      </c>
      <c r="E267" s="1" t="s">
        <v>14</v>
      </c>
      <c r="F267" s="1" t="s">
        <v>28</v>
      </c>
      <c r="G267" s="2">
        <v>45192</v>
      </c>
      <c r="H267" s="24">
        <v>328</v>
      </c>
      <c r="I267" s="23">
        <v>79.099999999999994</v>
      </c>
      <c r="J267" s="3">
        <v>265.89</v>
      </c>
      <c r="K267">
        <v>25944.799999999999</v>
      </c>
      <c r="L267" s="22">
        <f>(Table63[[#This Row],[Unit sold Filled]]*Table63[[#This Row],[Unit Price Filled]])-(Table63[[#This Row],[Unit sold Filled]]*Table63[[#This Row],[Unit Cost]])</f>
        <v>-61267.119999999995</v>
      </c>
      <c r="M267" s="27">
        <f>IF(Table63[[#This Row],[Total Revenue]]=0,0,Table63[[#This Row],[Profit]]/Table63[[#This Row],[Total Revenue]])</f>
        <v>-2.3614412136536029</v>
      </c>
      <c r="N267" s="28" t="str">
        <f>YEAR(Table63[[#This Row],[Order Date]])&amp;"-"&amp;TEXT(Table63[[#This Row],[Order Date]],"mm")</f>
        <v>2023-09</v>
      </c>
      <c r="O267" s="22">
        <f>IF(Table63[[#This Row],[Unit sold Filled]]=0,0,Table63[[#This Row],[Total Revenue]]/Table63[[#This Row],[Unit sold Filled]])</f>
        <v>79.099999999999994</v>
      </c>
    </row>
    <row r="268" spans="1:15" ht="15" thickBot="1" x14ac:dyDescent="0.35">
      <c r="A268" s="15" t="s">
        <v>295</v>
      </c>
      <c r="B268" s="17" t="s">
        <v>17</v>
      </c>
      <c r="C268" s="15" t="s">
        <v>50</v>
      </c>
      <c r="D268" t="s">
        <v>42</v>
      </c>
      <c r="E268" s="15" t="s">
        <v>24</v>
      </c>
      <c r="F268" s="15" t="s">
        <v>28</v>
      </c>
      <c r="G268" s="18">
        <v>45193</v>
      </c>
      <c r="H268" s="24">
        <v>223</v>
      </c>
      <c r="I268" s="23">
        <v>214.85</v>
      </c>
      <c r="J268" s="17">
        <v>2.75</v>
      </c>
      <c r="K268">
        <v>47911.549999999996</v>
      </c>
      <c r="L268" s="22">
        <f>(Table63[[#This Row],[Unit sold Filled]]*Table63[[#This Row],[Unit Price Filled]])-(Table63[[#This Row],[Unit sold Filled]]*Table63[[#This Row],[Unit Cost]])</f>
        <v>47298.299999999996</v>
      </c>
      <c r="M268" s="27">
        <f>IF(Table63[[#This Row],[Total Revenue]]=0,0,Table63[[#This Row],[Profit]]/Table63[[#This Row],[Total Revenue]])</f>
        <v>0.98720037235280433</v>
      </c>
      <c r="N268" s="28" t="str">
        <f>YEAR(Table63[[#This Row],[Order Date]])&amp;"-"&amp;TEXT(Table63[[#This Row],[Order Date]],"mm")</f>
        <v>2023-09</v>
      </c>
      <c r="O268" s="22">
        <f>IF(Table63[[#This Row],[Unit sold Filled]]=0,0,Table63[[#This Row],[Total Revenue]]/Table63[[#This Row],[Unit sold Filled]])</f>
        <v>214.85</v>
      </c>
    </row>
    <row r="269" spans="1:15" ht="15" thickBot="1" x14ac:dyDescent="0.35">
      <c r="A269" s="1" t="s">
        <v>296</v>
      </c>
      <c r="B269" s="3" t="s">
        <v>17</v>
      </c>
      <c r="C269" s="1" t="s">
        <v>18</v>
      </c>
      <c r="D269" t="s">
        <v>13</v>
      </c>
      <c r="E269" s="1" t="s">
        <v>14</v>
      </c>
      <c r="F269" s="1" t="s">
        <v>28</v>
      </c>
      <c r="G269" s="2">
        <v>45194</v>
      </c>
      <c r="H269" s="24">
        <v>126</v>
      </c>
      <c r="I269" s="23">
        <v>80.73</v>
      </c>
      <c r="J269" s="3">
        <v>72.989999999999995</v>
      </c>
      <c r="K269">
        <v>10171.980000000001</v>
      </c>
      <c r="L269" s="22">
        <f>(Table63[[#This Row],[Unit sold Filled]]*Table63[[#This Row],[Unit Price Filled]])-(Table63[[#This Row],[Unit sold Filled]]*Table63[[#This Row],[Unit Cost]])</f>
        <v>975.2400000000016</v>
      </c>
      <c r="M269" s="27">
        <f>IF(Table63[[#This Row],[Total Revenue]]=0,0,Table63[[#This Row],[Profit]]/Table63[[#This Row],[Total Revenue]])</f>
        <v>9.5875139353400363E-2</v>
      </c>
      <c r="N269" s="28" t="str">
        <f>YEAR(Table63[[#This Row],[Order Date]])&amp;"-"&amp;TEXT(Table63[[#This Row],[Order Date]],"mm")</f>
        <v>2023-09</v>
      </c>
      <c r="O269" s="22">
        <f>IF(Table63[[#This Row],[Unit sold Filled]]=0,0,Table63[[#This Row],[Total Revenue]]/Table63[[#This Row],[Unit sold Filled]])</f>
        <v>80.73</v>
      </c>
    </row>
    <row r="270" spans="1:15" ht="15" thickBot="1" x14ac:dyDescent="0.35">
      <c r="A270" s="15" t="s">
        <v>297</v>
      </c>
      <c r="B270" s="17" t="s">
        <v>11</v>
      </c>
      <c r="C270" s="15" t="s">
        <v>31</v>
      </c>
      <c r="D270" t="s">
        <v>19</v>
      </c>
      <c r="E270" s="15" t="s">
        <v>14</v>
      </c>
      <c r="F270" s="15" t="s">
        <v>28</v>
      </c>
      <c r="G270" s="18">
        <v>45195</v>
      </c>
      <c r="H270" s="24">
        <v>395</v>
      </c>
      <c r="I270" s="23">
        <v>121.44</v>
      </c>
      <c r="J270" s="17">
        <v>13.57</v>
      </c>
      <c r="K270">
        <v>47968.799999999996</v>
      </c>
      <c r="L270" s="22">
        <f>(Table63[[#This Row],[Unit sold Filled]]*Table63[[#This Row],[Unit Price Filled]])-(Table63[[#This Row],[Unit sold Filled]]*Table63[[#This Row],[Unit Cost]])</f>
        <v>42608.649999999994</v>
      </c>
      <c r="M270" s="27">
        <f>IF(Table63[[#This Row],[Total Revenue]]=0,0,Table63[[#This Row],[Profit]]/Table63[[#This Row],[Total Revenue]])</f>
        <v>0.88825757575757569</v>
      </c>
      <c r="N270" s="28" t="str">
        <f>YEAR(Table63[[#This Row],[Order Date]])&amp;"-"&amp;TEXT(Table63[[#This Row],[Order Date]],"mm")</f>
        <v>2023-09</v>
      </c>
      <c r="O270" s="22">
        <f>IF(Table63[[#This Row],[Unit sold Filled]]=0,0,Table63[[#This Row],[Total Revenue]]/Table63[[#This Row],[Unit sold Filled]])</f>
        <v>121.43999999999998</v>
      </c>
    </row>
    <row r="271" spans="1:15" ht="15" thickBot="1" x14ac:dyDescent="0.35">
      <c r="A271" s="1" t="s">
        <v>298</v>
      </c>
      <c r="B271" s="3" t="s">
        <v>11</v>
      </c>
      <c r="C271" s="1" t="s">
        <v>18</v>
      </c>
      <c r="D271" t="s">
        <v>27</v>
      </c>
      <c r="E271" s="1" t="s">
        <v>24</v>
      </c>
      <c r="F271" s="1" t="s">
        <v>15</v>
      </c>
      <c r="G271" s="2">
        <v>45196</v>
      </c>
      <c r="H271" s="24">
        <v>353</v>
      </c>
      <c r="I271" s="23">
        <v>435.28</v>
      </c>
      <c r="J271" s="3">
        <v>68.42</v>
      </c>
      <c r="K271">
        <v>153653.84</v>
      </c>
      <c r="L271" s="22">
        <f>(Table63[[#This Row],[Unit sold Filled]]*Table63[[#This Row],[Unit Price Filled]])-(Table63[[#This Row],[Unit sold Filled]]*Table63[[#This Row],[Unit Cost]])</f>
        <v>129501.57999999999</v>
      </c>
      <c r="M271" s="27">
        <f>IF(Table63[[#This Row],[Total Revenue]]=0,0,Table63[[#This Row],[Profit]]/Table63[[#This Row],[Total Revenue]])</f>
        <v>0.84281382098878876</v>
      </c>
      <c r="N271" s="28" t="str">
        <f>YEAR(Table63[[#This Row],[Order Date]])&amp;"-"&amp;TEXT(Table63[[#This Row],[Order Date]],"mm")</f>
        <v>2023-09</v>
      </c>
      <c r="O271" s="22">
        <f>IF(Table63[[#This Row],[Unit sold Filled]]=0,0,Table63[[#This Row],[Total Revenue]]/Table63[[#This Row],[Unit sold Filled]])</f>
        <v>435.28</v>
      </c>
    </row>
    <row r="272" spans="1:15" ht="15" thickBot="1" x14ac:dyDescent="0.35">
      <c r="A272" s="15" t="s">
        <v>299</v>
      </c>
      <c r="B272" s="17" t="s">
        <v>48</v>
      </c>
      <c r="C272" s="15" t="s">
        <v>31</v>
      </c>
      <c r="D272" t="s">
        <v>27</v>
      </c>
      <c r="E272" s="15" t="s">
        <v>24</v>
      </c>
      <c r="F272" s="15" t="s">
        <v>15</v>
      </c>
      <c r="G272" s="18">
        <v>45197</v>
      </c>
      <c r="H272" s="24">
        <v>81</v>
      </c>
      <c r="I272" s="23">
        <v>239.08</v>
      </c>
      <c r="J272" s="17">
        <v>74.17</v>
      </c>
      <c r="K272">
        <v>19365.48</v>
      </c>
      <c r="L272" s="22">
        <f>(Table63[[#This Row],[Unit sold Filled]]*Table63[[#This Row],[Unit Price Filled]])-(Table63[[#This Row],[Unit sold Filled]]*Table63[[#This Row],[Unit Cost]])</f>
        <v>13357.71</v>
      </c>
      <c r="M272" s="27">
        <f>IF(Table63[[#This Row],[Total Revenue]]=0,0,Table63[[#This Row],[Profit]]/Table63[[#This Row],[Total Revenue]])</f>
        <v>0.68976911494060567</v>
      </c>
      <c r="N272" s="28" t="str">
        <f>YEAR(Table63[[#This Row],[Order Date]])&amp;"-"&amp;TEXT(Table63[[#This Row],[Order Date]],"mm")</f>
        <v>2023-09</v>
      </c>
      <c r="O272" s="22">
        <f>IF(Table63[[#This Row],[Unit sold Filled]]=0,0,Table63[[#This Row],[Total Revenue]]/Table63[[#This Row],[Unit sold Filled]])</f>
        <v>239.07999999999998</v>
      </c>
    </row>
    <row r="273" spans="1:15" ht="15" thickBot="1" x14ac:dyDescent="0.35">
      <c r="A273" s="1" t="s">
        <v>300</v>
      </c>
      <c r="B273" s="3" t="s">
        <v>17</v>
      </c>
      <c r="C273" s="1" t="s">
        <v>12</v>
      </c>
      <c r="D273" t="s">
        <v>23</v>
      </c>
      <c r="E273" s="1" t="s">
        <v>24</v>
      </c>
      <c r="F273" s="1" t="s">
        <v>15</v>
      </c>
      <c r="G273" s="2">
        <v>45198</v>
      </c>
      <c r="H273" s="24">
        <v>404</v>
      </c>
      <c r="I273" s="23">
        <v>270</v>
      </c>
      <c r="J273" s="3">
        <v>156.29</v>
      </c>
      <c r="K273">
        <v>109080</v>
      </c>
      <c r="L273" s="22">
        <f>(Table63[[#This Row],[Unit sold Filled]]*Table63[[#This Row],[Unit Price Filled]])-(Table63[[#This Row],[Unit sold Filled]]*Table63[[#This Row],[Unit Cost]])</f>
        <v>45938.840000000004</v>
      </c>
      <c r="M273" s="27">
        <f>IF(Table63[[#This Row],[Total Revenue]]=0,0,Table63[[#This Row],[Profit]]/Table63[[#This Row],[Total Revenue]])</f>
        <v>0.42114814814814816</v>
      </c>
      <c r="N273" s="28" t="str">
        <f>YEAR(Table63[[#This Row],[Order Date]])&amp;"-"&amp;TEXT(Table63[[#This Row],[Order Date]],"mm")</f>
        <v>2023-09</v>
      </c>
      <c r="O273" s="22">
        <f>IF(Table63[[#This Row],[Unit sold Filled]]=0,0,Table63[[#This Row],[Total Revenue]]/Table63[[#This Row],[Unit sold Filled]])</f>
        <v>270</v>
      </c>
    </row>
    <row r="274" spans="1:15" ht="15" thickBot="1" x14ac:dyDescent="0.35">
      <c r="A274" s="15" t="s">
        <v>301</v>
      </c>
      <c r="B274" s="17" t="s">
        <v>17</v>
      </c>
      <c r="C274" s="15" t="s">
        <v>26</v>
      </c>
      <c r="D274" t="s">
        <v>23</v>
      </c>
      <c r="E274" s="15" t="s">
        <v>24</v>
      </c>
      <c r="F274" s="15" t="s">
        <v>15</v>
      </c>
      <c r="G274" s="18">
        <v>45199</v>
      </c>
      <c r="H274" s="24">
        <v>73</v>
      </c>
      <c r="I274" s="23">
        <v>93.33</v>
      </c>
      <c r="J274" s="17">
        <v>162.13</v>
      </c>
      <c r="K274">
        <v>6813.09</v>
      </c>
      <c r="L274" s="22">
        <f>(Table63[[#This Row],[Unit sold Filled]]*Table63[[#This Row],[Unit Price Filled]])-(Table63[[#This Row],[Unit sold Filled]]*Table63[[#This Row],[Unit Cost]])</f>
        <v>-5022.3999999999996</v>
      </c>
      <c r="M274" s="27">
        <f>IF(Table63[[#This Row],[Total Revenue]]=0,0,Table63[[#This Row],[Profit]]/Table63[[#This Row],[Total Revenue]])</f>
        <v>-0.73716918461373615</v>
      </c>
      <c r="N274" s="28" t="str">
        <f>YEAR(Table63[[#This Row],[Order Date]])&amp;"-"&amp;TEXT(Table63[[#This Row],[Order Date]],"mm")</f>
        <v>2023-09</v>
      </c>
      <c r="O274" s="22">
        <f>IF(Table63[[#This Row],[Unit sold Filled]]=0,0,Table63[[#This Row],[Total Revenue]]/Table63[[#This Row],[Unit sold Filled]])</f>
        <v>93.33</v>
      </c>
    </row>
    <row r="275" spans="1:15" ht="15" thickBot="1" x14ac:dyDescent="0.35">
      <c r="A275" s="1" t="s">
        <v>302</v>
      </c>
      <c r="B275" s="3" t="s">
        <v>17</v>
      </c>
      <c r="C275" s="1" t="s">
        <v>18</v>
      </c>
      <c r="D275" t="s">
        <v>13</v>
      </c>
      <c r="E275" s="1" t="s">
        <v>14</v>
      </c>
      <c r="F275" s="1" t="s">
        <v>28</v>
      </c>
      <c r="G275" s="2">
        <v>45200</v>
      </c>
      <c r="H275" s="24">
        <v>214</v>
      </c>
      <c r="I275" s="23">
        <v>159.57</v>
      </c>
      <c r="J275" s="3">
        <v>349.96</v>
      </c>
      <c r="K275">
        <v>34147.979999999996</v>
      </c>
      <c r="L275" s="22">
        <f>(Table63[[#This Row],[Unit sold Filled]]*Table63[[#This Row],[Unit Price Filled]])-(Table63[[#This Row],[Unit sold Filled]]*Table63[[#This Row],[Unit Cost]])</f>
        <v>-40743.460000000006</v>
      </c>
      <c r="M275" s="27">
        <f>IF(Table63[[#This Row],[Total Revenue]]=0,0,Table63[[#This Row],[Profit]]/Table63[[#This Row],[Total Revenue]])</f>
        <v>-1.1931440747007587</v>
      </c>
      <c r="N275" s="28" t="str">
        <f>YEAR(Table63[[#This Row],[Order Date]])&amp;"-"&amp;TEXT(Table63[[#This Row],[Order Date]],"mm")</f>
        <v>2023-10</v>
      </c>
      <c r="O275" s="22">
        <f>IF(Table63[[#This Row],[Unit sold Filled]]=0,0,Table63[[#This Row],[Total Revenue]]/Table63[[#This Row],[Unit sold Filled]])</f>
        <v>159.57</v>
      </c>
    </row>
    <row r="276" spans="1:15" ht="15" thickBot="1" x14ac:dyDescent="0.35">
      <c r="A276" s="15" t="s">
        <v>303</v>
      </c>
      <c r="B276" s="17" t="s">
        <v>22</v>
      </c>
      <c r="C276" s="15" t="s">
        <v>50</v>
      </c>
      <c r="D276" t="s">
        <v>13</v>
      </c>
      <c r="E276" s="15" t="s">
        <v>24</v>
      </c>
      <c r="F276" s="15" t="s">
        <v>20</v>
      </c>
      <c r="G276" s="18">
        <v>45201</v>
      </c>
      <c r="H276" s="24">
        <v>218</v>
      </c>
      <c r="I276" s="23">
        <v>118.97</v>
      </c>
      <c r="J276" s="17">
        <v>205.02</v>
      </c>
      <c r="K276">
        <v>25935.46</v>
      </c>
      <c r="L276" s="22">
        <f>(Table63[[#This Row],[Unit sold Filled]]*Table63[[#This Row],[Unit Price Filled]])-(Table63[[#This Row],[Unit sold Filled]]*Table63[[#This Row],[Unit Cost]])</f>
        <v>-18758.900000000001</v>
      </c>
      <c r="M276" s="27">
        <f>IF(Table63[[#This Row],[Total Revenue]]=0,0,Table63[[#This Row],[Profit]]/Table63[[#This Row],[Total Revenue]])</f>
        <v>-0.72329158611414646</v>
      </c>
      <c r="N276" s="28" t="str">
        <f>YEAR(Table63[[#This Row],[Order Date]])&amp;"-"&amp;TEXT(Table63[[#This Row],[Order Date]],"mm")</f>
        <v>2023-10</v>
      </c>
      <c r="O276" s="22">
        <f>IF(Table63[[#This Row],[Unit sold Filled]]=0,0,Table63[[#This Row],[Total Revenue]]/Table63[[#This Row],[Unit sold Filled]])</f>
        <v>118.97</v>
      </c>
    </row>
    <row r="277" spans="1:15" ht="15" thickBot="1" x14ac:dyDescent="0.35">
      <c r="A277" s="1" t="s">
        <v>304</v>
      </c>
      <c r="B277" s="3" t="s">
        <v>17</v>
      </c>
      <c r="C277" s="1" t="s">
        <v>12</v>
      </c>
      <c r="D277" t="s">
        <v>42</v>
      </c>
      <c r="E277" s="1" t="s">
        <v>24</v>
      </c>
      <c r="F277" s="1" t="s">
        <v>15</v>
      </c>
      <c r="G277" s="2">
        <v>45202</v>
      </c>
      <c r="H277" s="24">
        <v>81</v>
      </c>
      <c r="I277" s="23">
        <v>107.06</v>
      </c>
      <c r="J277" s="3">
        <v>289.92</v>
      </c>
      <c r="K277">
        <v>8671.86</v>
      </c>
      <c r="L277" s="22">
        <f>(Table63[[#This Row],[Unit sold Filled]]*Table63[[#This Row],[Unit Price Filled]])-(Table63[[#This Row],[Unit sold Filled]]*Table63[[#This Row],[Unit Cost]])</f>
        <v>-14811.66</v>
      </c>
      <c r="M277" s="27">
        <f>IF(Table63[[#This Row],[Total Revenue]]=0,0,Table63[[#This Row],[Profit]]/Table63[[#This Row],[Total Revenue]])</f>
        <v>-1.7080141976461796</v>
      </c>
      <c r="N277" s="28" t="str">
        <f>YEAR(Table63[[#This Row],[Order Date]])&amp;"-"&amp;TEXT(Table63[[#This Row],[Order Date]],"mm")</f>
        <v>2023-10</v>
      </c>
      <c r="O277" s="22">
        <f>IF(Table63[[#This Row],[Unit sold Filled]]=0,0,Table63[[#This Row],[Total Revenue]]/Table63[[#This Row],[Unit sold Filled]])</f>
        <v>107.06</v>
      </c>
    </row>
    <row r="278" spans="1:15" ht="15" thickBot="1" x14ac:dyDescent="0.35">
      <c r="A278" s="15" t="s">
        <v>305</v>
      </c>
      <c r="B278" s="17" t="s">
        <v>22</v>
      </c>
      <c r="C278" s="15" t="s">
        <v>18</v>
      </c>
      <c r="D278" t="s">
        <v>42</v>
      </c>
      <c r="E278" s="15" t="s">
        <v>24</v>
      </c>
      <c r="F278" s="15" t="s">
        <v>20</v>
      </c>
      <c r="G278" s="18">
        <v>45203</v>
      </c>
      <c r="H278" s="24">
        <v>286</v>
      </c>
      <c r="I278" s="23">
        <v>320.79000000000002</v>
      </c>
      <c r="J278" s="17">
        <v>43.45</v>
      </c>
      <c r="K278">
        <v>91745.94</v>
      </c>
      <c r="L278" s="22">
        <f>(Table63[[#This Row],[Unit sold Filled]]*Table63[[#This Row],[Unit Price Filled]])-(Table63[[#This Row],[Unit sold Filled]]*Table63[[#This Row],[Unit Cost]])</f>
        <v>79319.240000000005</v>
      </c>
      <c r="M278" s="27">
        <f>IF(Table63[[#This Row],[Total Revenue]]=0,0,Table63[[#This Row],[Profit]]/Table63[[#This Row],[Total Revenue]])</f>
        <v>0.86455313444932824</v>
      </c>
      <c r="N278" s="28" t="str">
        <f>YEAR(Table63[[#This Row],[Order Date]])&amp;"-"&amp;TEXT(Table63[[#This Row],[Order Date]],"mm")</f>
        <v>2023-10</v>
      </c>
      <c r="O278" s="22">
        <f>IF(Table63[[#This Row],[Unit sold Filled]]=0,0,Table63[[#This Row],[Total Revenue]]/Table63[[#This Row],[Unit sold Filled]])</f>
        <v>320.79000000000002</v>
      </c>
    </row>
    <row r="279" spans="1:15" ht="15" thickBot="1" x14ac:dyDescent="0.35">
      <c r="A279" s="1" t="s">
        <v>306</v>
      </c>
      <c r="B279" s="3" t="s">
        <v>48</v>
      </c>
      <c r="C279" s="1" t="s">
        <v>50</v>
      </c>
      <c r="D279" t="s">
        <v>13</v>
      </c>
      <c r="E279" s="1" t="s">
        <v>14</v>
      </c>
      <c r="F279" s="1" t="s">
        <v>15</v>
      </c>
      <c r="G279" s="2">
        <v>45204</v>
      </c>
      <c r="H279" s="24">
        <v>283</v>
      </c>
      <c r="I279" s="23">
        <v>132.16</v>
      </c>
      <c r="J279" s="3">
        <v>91.72</v>
      </c>
      <c r="K279">
        <v>37401.279999999999</v>
      </c>
      <c r="L279" s="22">
        <f>(Table63[[#This Row],[Unit sold Filled]]*Table63[[#This Row],[Unit Price Filled]])-(Table63[[#This Row],[Unit sold Filled]]*Table63[[#This Row],[Unit Cost]])</f>
        <v>11444.52</v>
      </c>
      <c r="M279" s="27">
        <f>IF(Table63[[#This Row],[Total Revenue]]=0,0,Table63[[#This Row],[Profit]]/Table63[[#This Row],[Total Revenue]])</f>
        <v>0.30599273607748184</v>
      </c>
      <c r="N279" s="28" t="str">
        <f>YEAR(Table63[[#This Row],[Order Date]])&amp;"-"&amp;TEXT(Table63[[#This Row],[Order Date]],"mm")</f>
        <v>2023-10</v>
      </c>
      <c r="O279" s="22">
        <f>IF(Table63[[#This Row],[Unit sold Filled]]=0,0,Table63[[#This Row],[Total Revenue]]/Table63[[#This Row],[Unit sold Filled]])</f>
        <v>132.16</v>
      </c>
    </row>
    <row r="280" spans="1:15" ht="15" thickBot="1" x14ac:dyDescent="0.35">
      <c r="A280" s="15" t="s">
        <v>307</v>
      </c>
      <c r="B280" s="17" t="s">
        <v>22</v>
      </c>
      <c r="C280" s="15" t="s">
        <v>18</v>
      </c>
      <c r="D280" t="s">
        <v>13</v>
      </c>
      <c r="E280" s="15" t="s">
        <v>14</v>
      </c>
      <c r="F280" s="15" t="s">
        <v>15</v>
      </c>
      <c r="G280" s="18">
        <v>45205</v>
      </c>
      <c r="H280" s="24">
        <v>487</v>
      </c>
      <c r="I280" s="23">
        <v>317.85000000000002</v>
      </c>
      <c r="J280" s="17">
        <v>281.77</v>
      </c>
      <c r="K280">
        <v>154792.95000000001</v>
      </c>
      <c r="L280" s="22">
        <f>(Table63[[#This Row],[Unit sold Filled]]*Table63[[#This Row],[Unit Price Filled]])-(Table63[[#This Row],[Unit sold Filled]]*Table63[[#This Row],[Unit Cost]])</f>
        <v>17570.960000000021</v>
      </c>
      <c r="M280" s="27">
        <f>IF(Table63[[#This Row],[Total Revenue]]=0,0,Table63[[#This Row],[Profit]]/Table63[[#This Row],[Total Revenue]])</f>
        <v>0.11351266320591487</v>
      </c>
      <c r="N280" s="28" t="str">
        <f>YEAR(Table63[[#This Row],[Order Date]])&amp;"-"&amp;TEXT(Table63[[#This Row],[Order Date]],"mm")</f>
        <v>2023-10</v>
      </c>
      <c r="O280" s="22">
        <f>IF(Table63[[#This Row],[Unit sold Filled]]=0,0,Table63[[#This Row],[Total Revenue]]/Table63[[#This Row],[Unit sold Filled]])</f>
        <v>317.85000000000002</v>
      </c>
    </row>
    <row r="281" spans="1:15" ht="15" thickBot="1" x14ac:dyDescent="0.35">
      <c r="A281" s="1" t="s">
        <v>308</v>
      </c>
      <c r="B281" s="3" t="s">
        <v>48</v>
      </c>
      <c r="C281" s="1" t="s">
        <v>31</v>
      </c>
      <c r="D281" t="s">
        <v>19</v>
      </c>
      <c r="E281" s="1" t="s">
        <v>24</v>
      </c>
      <c r="F281" s="1" t="s">
        <v>20</v>
      </c>
      <c r="G281" s="2">
        <v>45206</v>
      </c>
      <c r="H281" s="24">
        <v>329</v>
      </c>
      <c r="I281" s="23">
        <v>33.94</v>
      </c>
      <c r="J281" s="3">
        <v>23.02</v>
      </c>
      <c r="K281">
        <v>11166.259999999998</v>
      </c>
      <c r="L281" s="22">
        <f>(Table63[[#This Row],[Unit sold Filled]]*Table63[[#This Row],[Unit Price Filled]])-(Table63[[#This Row],[Unit sold Filled]]*Table63[[#This Row],[Unit Cost]])</f>
        <v>3592.6799999999985</v>
      </c>
      <c r="M281" s="27">
        <f>IF(Table63[[#This Row],[Total Revenue]]=0,0,Table63[[#This Row],[Profit]]/Table63[[#This Row],[Total Revenue]])</f>
        <v>0.32174425456688266</v>
      </c>
      <c r="N281" s="28" t="str">
        <f>YEAR(Table63[[#This Row],[Order Date]])&amp;"-"&amp;TEXT(Table63[[#This Row],[Order Date]],"mm")</f>
        <v>2023-10</v>
      </c>
      <c r="O281" s="22">
        <f>IF(Table63[[#This Row],[Unit sold Filled]]=0,0,Table63[[#This Row],[Total Revenue]]/Table63[[#This Row],[Unit sold Filled]])</f>
        <v>33.94</v>
      </c>
    </row>
    <row r="282" spans="1:15" ht="15" thickBot="1" x14ac:dyDescent="0.35">
      <c r="A282" s="15" t="s">
        <v>309</v>
      </c>
      <c r="B282" s="17" t="s">
        <v>17</v>
      </c>
      <c r="C282" s="15" t="s">
        <v>18</v>
      </c>
      <c r="D282" t="s">
        <v>23</v>
      </c>
      <c r="E282" s="15" t="s">
        <v>14</v>
      </c>
      <c r="F282" s="15" t="s">
        <v>28</v>
      </c>
      <c r="G282" s="18">
        <v>45207</v>
      </c>
      <c r="H282" s="24">
        <v>347</v>
      </c>
      <c r="I282" s="23">
        <v>75.180000000000007</v>
      </c>
      <c r="J282" s="17">
        <v>195.67</v>
      </c>
      <c r="K282">
        <v>26087.460000000003</v>
      </c>
      <c r="L282" s="22">
        <f>(Table63[[#This Row],[Unit sold Filled]]*Table63[[#This Row],[Unit Price Filled]])-(Table63[[#This Row],[Unit sold Filled]]*Table63[[#This Row],[Unit Cost]])</f>
        <v>-41810.029999999984</v>
      </c>
      <c r="M282" s="27">
        <f>IF(Table63[[#This Row],[Total Revenue]]=0,0,Table63[[#This Row],[Profit]]/Table63[[#This Row],[Total Revenue]])</f>
        <v>-1.602686884809789</v>
      </c>
      <c r="N282" s="28" t="str">
        <f>YEAR(Table63[[#This Row],[Order Date]])&amp;"-"&amp;TEXT(Table63[[#This Row],[Order Date]],"mm")</f>
        <v>2023-10</v>
      </c>
      <c r="O282" s="22">
        <f>IF(Table63[[#This Row],[Unit sold Filled]]=0,0,Table63[[#This Row],[Total Revenue]]/Table63[[#This Row],[Unit sold Filled]])</f>
        <v>75.180000000000007</v>
      </c>
    </row>
    <row r="283" spans="1:15" ht="15" thickBot="1" x14ac:dyDescent="0.35">
      <c r="A283" s="1" t="s">
        <v>310</v>
      </c>
      <c r="B283" s="3" t="s">
        <v>17</v>
      </c>
      <c r="C283" s="1" t="s">
        <v>18</v>
      </c>
      <c r="D283" t="s">
        <v>42</v>
      </c>
      <c r="E283" s="1" t="s">
        <v>24</v>
      </c>
      <c r="F283" s="1" t="s">
        <v>15</v>
      </c>
      <c r="G283" s="2">
        <v>45208</v>
      </c>
      <c r="H283" s="24">
        <v>375</v>
      </c>
      <c r="I283" s="23">
        <v>140.9</v>
      </c>
      <c r="J283" s="3">
        <v>240.55</v>
      </c>
      <c r="K283">
        <v>52837.5</v>
      </c>
      <c r="L283" s="22">
        <f>(Table63[[#This Row],[Unit sold Filled]]*Table63[[#This Row],[Unit Price Filled]])-(Table63[[#This Row],[Unit sold Filled]]*Table63[[#This Row],[Unit Cost]])</f>
        <v>-37368.75</v>
      </c>
      <c r="M283" s="27">
        <f>IF(Table63[[#This Row],[Total Revenue]]=0,0,Table63[[#This Row],[Profit]]/Table63[[#This Row],[Total Revenue]])</f>
        <v>-0.70723917672107883</v>
      </c>
      <c r="N283" s="28" t="str">
        <f>YEAR(Table63[[#This Row],[Order Date]])&amp;"-"&amp;TEXT(Table63[[#This Row],[Order Date]],"mm")</f>
        <v>2023-10</v>
      </c>
      <c r="O283" s="22">
        <f>IF(Table63[[#This Row],[Unit sold Filled]]=0,0,Table63[[#This Row],[Total Revenue]]/Table63[[#This Row],[Unit sold Filled]])</f>
        <v>140.9</v>
      </c>
    </row>
    <row r="284" spans="1:15" ht="15" thickBot="1" x14ac:dyDescent="0.35">
      <c r="A284" s="15" t="s">
        <v>311</v>
      </c>
      <c r="B284" s="17" t="s">
        <v>48</v>
      </c>
      <c r="C284" s="15" t="s">
        <v>18</v>
      </c>
      <c r="D284" t="s">
        <v>23</v>
      </c>
      <c r="E284" s="15" t="s">
        <v>14</v>
      </c>
      <c r="F284" s="15" t="s">
        <v>15</v>
      </c>
      <c r="G284" s="18">
        <v>45209</v>
      </c>
      <c r="H284" s="24">
        <v>104</v>
      </c>
      <c r="I284" s="23">
        <v>300.54000000000002</v>
      </c>
      <c r="J284" s="17">
        <v>241.65</v>
      </c>
      <c r="K284">
        <v>31256.160000000003</v>
      </c>
      <c r="L284" s="22">
        <f>(Table63[[#This Row],[Unit sold Filled]]*Table63[[#This Row],[Unit Price Filled]])-(Table63[[#This Row],[Unit sold Filled]]*Table63[[#This Row],[Unit Cost]])</f>
        <v>6124.5600000000013</v>
      </c>
      <c r="M284" s="27">
        <f>IF(Table63[[#This Row],[Total Revenue]]=0,0,Table63[[#This Row],[Profit]]/Table63[[#This Row],[Total Revenue]])</f>
        <v>0.1959472948692354</v>
      </c>
      <c r="N284" s="28" t="str">
        <f>YEAR(Table63[[#This Row],[Order Date]])&amp;"-"&amp;TEXT(Table63[[#This Row],[Order Date]],"mm")</f>
        <v>2023-10</v>
      </c>
      <c r="O284" s="22">
        <f>IF(Table63[[#This Row],[Unit sold Filled]]=0,0,Table63[[#This Row],[Total Revenue]]/Table63[[#This Row],[Unit sold Filled]])</f>
        <v>300.54000000000002</v>
      </c>
    </row>
    <row r="285" spans="1:15" ht="15" thickBot="1" x14ac:dyDescent="0.35">
      <c r="A285" s="1" t="s">
        <v>312</v>
      </c>
      <c r="B285" s="3" t="s">
        <v>11</v>
      </c>
      <c r="C285" s="1" t="s">
        <v>12</v>
      </c>
      <c r="D285" t="s">
        <v>389</v>
      </c>
      <c r="E285" s="1" t="s">
        <v>14</v>
      </c>
      <c r="F285" s="1" t="s">
        <v>15</v>
      </c>
      <c r="G285" s="2">
        <v>45210</v>
      </c>
      <c r="H285" s="24">
        <v>175</v>
      </c>
      <c r="I285" s="23">
        <v>339.54</v>
      </c>
      <c r="J285" s="3">
        <v>11.13</v>
      </c>
      <c r="K285">
        <v>59419.5</v>
      </c>
      <c r="L285" s="22">
        <f>(Table63[[#This Row],[Unit sold Filled]]*Table63[[#This Row],[Unit Price Filled]])-(Table63[[#This Row],[Unit sold Filled]]*Table63[[#This Row],[Unit Cost]])</f>
        <v>57471.75</v>
      </c>
      <c r="M285" s="27">
        <f>IF(Table63[[#This Row],[Total Revenue]]=0,0,Table63[[#This Row],[Profit]]/Table63[[#This Row],[Total Revenue]])</f>
        <v>0.96722035695352537</v>
      </c>
      <c r="N285" s="28" t="str">
        <f>YEAR(Table63[[#This Row],[Order Date]])&amp;"-"&amp;TEXT(Table63[[#This Row],[Order Date]],"mm")</f>
        <v>2023-10</v>
      </c>
      <c r="O285" s="22">
        <f>IF(Table63[[#This Row],[Unit sold Filled]]=0,0,Table63[[#This Row],[Total Revenue]]/Table63[[#This Row],[Unit sold Filled]])</f>
        <v>339.54</v>
      </c>
    </row>
    <row r="286" spans="1:15" ht="15" thickBot="1" x14ac:dyDescent="0.35">
      <c r="A286" s="15" t="s">
        <v>313</v>
      </c>
      <c r="B286" s="17" t="s">
        <v>48</v>
      </c>
      <c r="C286" s="15" t="s">
        <v>18</v>
      </c>
      <c r="D286" t="s">
        <v>13</v>
      </c>
      <c r="E286" s="15" t="s">
        <v>14</v>
      </c>
      <c r="F286" s="15" t="s">
        <v>20</v>
      </c>
      <c r="G286" s="18">
        <v>45211</v>
      </c>
      <c r="H286" s="24">
        <v>41</v>
      </c>
      <c r="I286" s="23">
        <v>224.14</v>
      </c>
      <c r="J286" s="17">
        <v>130.19999999999999</v>
      </c>
      <c r="K286">
        <v>9189.74</v>
      </c>
      <c r="L286" s="22">
        <f>(Table63[[#This Row],[Unit sold Filled]]*Table63[[#This Row],[Unit Price Filled]])-(Table63[[#This Row],[Unit sold Filled]]*Table63[[#This Row],[Unit Cost]])</f>
        <v>3851.54</v>
      </c>
      <c r="M286" s="27">
        <f>IF(Table63[[#This Row],[Total Revenue]]=0,0,Table63[[#This Row],[Profit]]/Table63[[#This Row],[Total Revenue]])</f>
        <v>0.41911305434103685</v>
      </c>
      <c r="N286" s="28" t="str">
        <f>YEAR(Table63[[#This Row],[Order Date]])&amp;"-"&amp;TEXT(Table63[[#This Row],[Order Date]],"mm")</f>
        <v>2023-10</v>
      </c>
      <c r="O286" s="22">
        <f>IF(Table63[[#This Row],[Unit sold Filled]]=0,0,Table63[[#This Row],[Total Revenue]]/Table63[[#This Row],[Unit sold Filled]])</f>
        <v>224.14</v>
      </c>
    </row>
    <row r="287" spans="1:15" ht="15" thickBot="1" x14ac:dyDescent="0.35">
      <c r="A287" s="1" t="s">
        <v>314</v>
      </c>
      <c r="B287" s="3" t="s">
        <v>11</v>
      </c>
      <c r="C287" s="1" t="s">
        <v>50</v>
      </c>
      <c r="D287" t="s">
        <v>19</v>
      </c>
      <c r="E287" s="1" t="s">
        <v>14</v>
      </c>
      <c r="F287" s="1" t="s">
        <v>28</v>
      </c>
      <c r="G287" s="2">
        <v>45212</v>
      </c>
      <c r="H287" s="24">
        <v>20</v>
      </c>
      <c r="I287" s="23">
        <v>225.67</v>
      </c>
      <c r="J287" s="3">
        <v>255.32</v>
      </c>
      <c r="K287">
        <v>4513.3999999999996</v>
      </c>
      <c r="L287" s="22">
        <f>(Table63[[#This Row],[Unit sold Filled]]*Table63[[#This Row],[Unit Price Filled]])-(Table63[[#This Row],[Unit sold Filled]]*Table63[[#This Row],[Unit Cost]])</f>
        <v>-593</v>
      </c>
      <c r="M287" s="27">
        <f>IF(Table63[[#This Row],[Total Revenue]]=0,0,Table63[[#This Row],[Profit]]/Table63[[#This Row],[Total Revenue]])</f>
        <v>-0.13138653786502416</v>
      </c>
      <c r="N287" s="28" t="str">
        <f>YEAR(Table63[[#This Row],[Order Date]])&amp;"-"&amp;TEXT(Table63[[#This Row],[Order Date]],"mm")</f>
        <v>2023-10</v>
      </c>
      <c r="O287" s="22">
        <f>IF(Table63[[#This Row],[Unit sold Filled]]=0,0,Table63[[#This Row],[Total Revenue]]/Table63[[#This Row],[Unit sold Filled]])</f>
        <v>225.67</v>
      </c>
    </row>
    <row r="288" spans="1:15" ht="15" thickBot="1" x14ac:dyDescent="0.35">
      <c r="A288" s="15" t="s">
        <v>315</v>
      </c>
      <c r="B288" s="17" t="s">
        <v>22</v>
      </c>
      <c r="C288" s="15" t="s">
        <v>31</v>
      </c>
      <c r="D288" t="s">
        <v>27</v>
      </c>
      <c r="E288" s="15" t="s">
        <v>24</v>
      </c>
      <c r="F288" s="15" t="s">
        <v>20</v>
      </c>
      <c r="G288" s="18">
        <v>45213</v>
      </c>
      <c r="H288" s="24">
        <v>310</v>
      </c>
      <c r="I288" s="23">
        <v>363.64</v>
      </c>
      <c r="J288" s="17">
        <v>61.3</v>
      </c>
      <c r="K288">
        <v>112728.4</v>
      </c>
      <c r="L288" s="22">
        <f>(Table63[[#This Row],[Unit sold Filled]]*Table63[[#This Row],[Unit Price Filled]])-(Table63[[#This Row],[Unit sold Filled]]*Table63[[#This Row],[Unit Cost]])</f>
        <v>93725.4</v>
      </c>
      <c r="M288" s="27">
        <f>IF(Table63[[#This Row],[Total Revenue]]=0,0,Table63[[#This Row],[Profit]]/Table63[[#This Row],[Total Revenue]])</f>
        <v>0.83142668573314271</v>
      </c>
      <c r="N288" s="28" t="str">
        <f>YEAR(Table63[[#This Row],[Order Date]])&amp;"-"&amp;TEXT(Table63[[#This Row],[Order Date]],"mm")</f>
        <v>2023-10</v>
      </c>
      <c r="O288" s="22">
        <f>IF(Table63[[#This Row],[Unit sold Filled]]=0,0,Table63[[#This Row],[Total Revenue]]/Table63[[#This Row],[Unit sold Filled]])</f>
        <v>363.64</v>
      </c>
    </row>
    <row r="289" spans="1:15" ht="15" thickBot="1" x14ac:dyDescent="0.35">
      <c r="A289" s="1" t="s">
        <v>316</v>
      </c>
      <c r="B289" s="3" t="s">
        <v>22</v>
      </c>
      <c r="C289" s="1" t="s">
        <v>31</v>
      </c>
      <c r="D289" t="s">
        <v>19</v>
      </c>
      <c r="E289" s="1" t="s">
        <v>24</v>
      </c>
      <c r="F289" s="1" t="s">
        <v>20</v>
      </c>
      <c r="G289" s="2">
        <v>45214</v>
      </c>
      <c r="H289" s="24">
        <v>226</v>
      </c>
      <c r="I289" s="23">
        <v>249.64520588235297</v>
      </c>
      <c r="J289" s="3">
        <v>278.77999999999997</v>
      </c>
      <c r="K289">
        <v>56419.816529411772</v>
      </c>
      <c r="L289" s="22">
        <f>(Table63[[#This Row],[Unit sold Filled]]*Table63[[#This Row],[Unit Price Filled]])-(Table63[[#This Row],[Unit sold Filled]]*Table63[[#This Row],[Unit Cost]])</f>
        <v>-6584.4634705882199</v>
      </c>
      <c r="M289" s="27">
        <f>IF(Table63[[#This Row],[Total Revenue]]=0,0,Table63[[#This Row],[Profit]]/Table63[[#This Row],[Total Revenue]])</f>
        <v>-0.11670480117842505</v>
      </c>
      <c r="N289" s="28" t="str">
        <f>YEAR(Table63[[#This Row],[Order Date]])&amp;"-"&amp;TEXT(Table63[[#This Row],[Order Date]],"mm")</f>
        <v>2023-10</v>
      </c>
      <c r="O289" s="22">
        <f>IF(Table63[[#This Row],[Unit sold Filled]]=0,0,Table63[[#This Row],[Total Revenue]]/Table63[[#This Row],[Unit sold Filled]])</f>
        <v>249.64520588235297</v>
      </c>
    </row>
    <row r="290" spans="1:15" ht="15" thickBot="1" x14ac:dyDescent="0.35">
      <c r="A290" s="15" t="s">
        <v>317</v>
      </c>
      <c r="B290" s="17" t="s">
        <v>22</v>
      </c>
      <c r="C290" s="15" t="s">
        <v>18</v>
      </c>
      <c r="D290" t="s">
        <v>19</v>
      </c>
      <c r="E290" s="15" t="s">
        <v>24</v>
      </c>
      <c r="F290" s="15" t="s">
        <v>28</v>
      </c>
      <c r="G290" s="18">
        <v>45215</v>
      </c>
      <c r="H290" s="24">
        <v>255.90294117647059</v>
      </c>
      <c r="I290" s="23">
        <v>173.84</v>
      </c>
      <c r="J290" s="17">
        <v>298.88</v>
      </c>
      <c r="K290">
        <v>44486.167294117651</v>
      </c>
      <c r="L290" s="22">
        <f>(Table63[[#This Row],[Unit sold Filled]]*Table63[[#This Row],[Unit Price Filled]])-(Table63[[#This Row],[Unit sold Filled]]*Table63[[#This Row],[Unit Cost]])</f>
        <v>-31998.103764705884</v>
      </c>
      <c r="M290" s="27">
        <f>IF(Table63[[#This Row],[Total Revenue]]=0,0,Table63[[#This Row],[Profit]]/Table63[[#This Row],[Total Revenue]])</f>
        <v>-0.71928209848136215</v>
      </c>
      <c r="N290" s="28" t="str">
        <f>YEAR(Table63[[#This Row],[Order Date]])&amp;"-"&amp;TEXT(Table63[[#This Row],[Order Date]],"mm")</f>
        <v>2023-10</v>
      </c>
      <c r="O290" s="22">
        <f>IF(Table63[[#This Row],[Unit sold Filled]]=0,0,Table63[[#This Row],[Total Revenue]]/Table63[[#This Row],[Unit sold Filled]])</f>
        <v>173.84</v>
      </c>
    </row>
    <row r="291" spans="1:15" ht="15" thickBot="1" x14ac:dyDescent="0.35">
      <c r="A291" s="1" t="s">
        <v>318</v>
      </c>
      <c r="B291" s="3" t="s">
        <v>17</v>
      </c>
      <c r="C291" s="1" t="s">
        <v>12</v>
      </c>
      <c r="D291" t="s">
        <v>23</v>
      </c>
      <c r="E291" s="1" t="s">
        <v>14</v>
      </c>
      <c r="F291" s="1" t="s">
        <v>20</v>
      </c>
      <c r="G291" s="2">
        <v>45216</v>
      </c>
      <c r="H291" s="24">
        <v>111</v>
      </c>
      <c r="I291" s="23">
        <v>410.26</v>
      </c>
      <c r="J291" s="3">
        <v>392.82</v>
      </c>
      <c r="K291">
        <v>45538.86</v>
      </c>
      <c r="L291" s="22">
        <f>(Table63[[#This Row],[Unit sold Filled]]*Table63[[#This Row],[Unit Price Filled]])-(Table63[[#This Row],[Unit sold Filled]]*Table63[[#This Row],[Unit Cost]])</f>
        <v>1935.8400000000038</v>
      </c>
      <c r="M291" s="27">
        <f>IF(Table63[[#This Row],[Total Revenue]]=0,0,Table63[[#This Row],[Profit]]/Table63[[#This Row],[Total Revenue]])</f>
        <v>4.2509628040754727E-2</v>
      </c>
      <c r="N291" s="28" t="str">
        <f>YEAR(Table63[[#This Row],[Order Date]])&amp;"-"&amp;TEXT(Table63[[#This Row],[Order Date]],"mm")</f>
        <v>2023-10</v>
      </c>
      <c r="O291" s="22">
        <f>IF(Table63[[#This Row],[Unit sold Filled]]=0,0,Table63[[#This Row],[Total Revenue]]/Table63[[#This Row],[Unit sold Filled]])</f>
        <v>410.26</v>
      </c>
    </row>
    <row r="292" spans="1:15" ht="15" thickBot="1" x14ac:dyDescent="0.35">
      <c r="A292" s="15" t="s">
        <v>319</v>
      </c>
      <c r="B292" s="17" t="s">
        <v>22</v>
      </c>
      <c r="C292" s="15" t="s">
        <v>12</v>
      </c>
      <c r="D292" t="s">
        <v>19</v>
      </c>
      <c r="E292" s="15" t="s">
        <v>24</v>
      </c>
      <c r="F292" s="15" t="s">
        <v>28</v>
      </c>
      <c r="G292" s="18">
        <v>45217</v>
      </c>
      <c r="H292" s="24">
        <v>434</v>
      </c>
      <c r="I292" s="23">
        <v>303.58999999999997</v>
      </c>
      <c r="J292" s="17">
        <v>85.52</v>
      </c>
      <c r="K292">
        <v>131758.06</v>
      </c>
      <c r="L292" s="22">
        <f>(Table63[[#This Row],[Unit sold Filled]]*Table63[[#This Row],[Unit Price Filled]])-(Table63[[#This Row],[Unit sold Filled]]*Table63[[#This Row],[Unit Cost]])</f>
        <v>94642.38</v>
      </c>
      <c r="M292" s="27">
        <f>IF(Table63[[#This Row],[Total Revenue]]=0,0,Table63[[#This Row],[Profit]]/Table63[[#This Row],[Total Revenue]])</f>
        <v>0.71830429197272638</v>
      </c>
      <c r="N292" s="28" t="str">
        <f>YEAR(Table63[[#This Row],[Order Date]])&amp;"-"&amp;TEXT(Table63[[#This Row],[Order Date]],"mm")</f>
        <v>2023-10</v>
      </c>
      <c r="O292" s="22">
        <f>IF(Table63[[#This Row],[Unit sold Filled]]=0,0,Table63[[#This Row],[Total Revenue]]/Table63[[#This Row],[Unit sold Filled]])</f>
        <v>303.58999999999997</v>
      </c>
    </row>
    <row r="293" spans="1:15" ht="15" thickBot="1" x14ac:dyDescent="0.35">
      <c r="A293" s="1" t="s">
        <v>320</v>
      </c>
      <c r="B293" s="3" t="s">
        <v>11</v>
      </c>
      <c r="C293" s="1" t="s">
        <v>50</v>
      </c>
      <c r="D293" t="s">
        <v>42</v>
      </c>
      <c r="E293" s="1" t="s">
        <v>24</v>
      </c>
      <c r="F293" s="1" t="s">
        <v>15</v>
      </c>
      <c r="G293" s="2">
        <v>45218</v>
      </c>
      <c r="H293" s="24">
        <v>401</v>
      </c>
      <c r="I293" s="23">
        <v>171.93</v>
      </c>
      <c r="J293" s="3">
        <v>330.4</v>
      </c>
      <c r="K293">
        <v>68943.930000000008</v>
      </c>
      <c r="L293" s="22">
        <f>(Table63[[#This Row],[Unit sold Filled]]*Table63[[#This Row],[Unit Price Filled]])-(Table63[[#This Row],[Unit sold Filled]]*Table63[[#This Row],[Unit Cost]])</f>
        <v>-63546.469999999987</v>
      </c>
      <c r="M293" s="27">
        <f>IF(Table63[[#This Row],[Total Revenue]]=0,0,Table63[[#This Row],[Profit]]/Table63[[#This Row],[Total Revenue]])</f>
        <v>-0.92171232478334175</v>
      </c>
      <c r="N293" s="28" t="str">
        <f>YEAR(Table63[[#This Row],[Order Date]])&amp;"-"&amp;TEXT(Table63[[#This Row],[Order Date]],"mm")</f>
        <v>2023-10</v>
      </c>
      <c r="O293" s="22">
        <f>IF(Table63[[#This Row],[Unit sold Filled]]=0,0,Table63[[#This Row],[Total Revenue]]/Table63[[#This Row],[Unit sold Filled]])</f>
        <v>171.93</v>
      </c>
    </row>
    <row r="294" spans="1:15" ht="15" thickBot="1" x14ac:dyDescent="0.35">
      <c r="A294" s="15" t="s">
        <v>321</v>
      </c>
      <c r="B294" s="17" t="s">
        <v>22</v>
      </c>
      <c r="C294" s="15" t="s">
        <v>18</v>
      </c>
      <c r="D294" t="s">
        <v>23</v>
      </c>
      <c r="E294" s="15" t="s">
        <v>24</v>
      </c>
      <c r="F294" s="15" t="s">
        <v>28</v>
      </c>
      <c r="G294" s="18">
        <v>45219</v>
      </c>
      <c r="H294" s="24">
        <v>276</v>
      </c>
      <c r="I294" s="23">
        <v>453.23</v>
      </c>
      <c r="J294" s="17">
        <v>209.08</v>
      </c>
      <c r="K294">
        <v>125091.48000000001</v>
      </c>
      <c r="L294" s="22">
        <f>(Table63[[#This Row],[Unit sold Filled]]*Table63[[#This Row],[Unit Price Filled]])-(Table63[[#This Row],[Unit sold Filled]]*Table63[[#This Row],[Unit Cost]])</f>
        <v>67385.400000000009</v>
      </c>
      <c r="M294" s="27">
        <f>IF(Table63[[#This Row],[Total Revenue]]=0,0,Table63[[#This Row],[Profit]]/Table63[[#This Row],[Total Revenue]])</f>
        <v>0.5386889658672197</v>
      </c>
      <c r="N294" s="28" t="str">
        <f>YEAR(Table63[[#This Row],[Order Date]])&amp;"-"&amp;TEXT(Table63[[#This Row],[Order Date]],"mm")</f>
        <v>2023-10</v>
      </c>
      <c r="O294" s="22">
        <f>IF(Table63[[#This Row],[Unit sold Filled]]=0,0,Table63[[#This Row],[Total Revenue]]/Table63[[#This Row],[Unit sold Filled]])</f>
        <v>453.23</v>
      </c>
    </row>
    <row r="295" spans="1:15" ht="15" thickBot="1" x14ac:dyDescent="0.35">
      <c r="A295" s="1" t="s">
        <v>322</v>
      </c>
      <c r="B295" s="3" t="s">
        <v>48</v>
      </c>
      <c r="C295" s="1" t="s">
        <v>31</v>
      </c>
      <c r="D295" t="s">
        <v>42</v>
      </c>
      <c r="E295" s="1" t="s">
        <v>14</v>
      </c>
      <c r="F295" s="1" t="s">
        <v>15</v>
      </c>
      <c r="G295" s="2">
        <v>45220</v>
      </c>
      <c r="H295" s="24">
        <v>255.90294117647059</v>
      </c>
      <c r="I295" s="23">
        <v>387.45</v>
      </c>
      <c r="J295" s="3">
        <v>150.63999999999999</v>
      </c>
      <c r="K295">
        <v>99149.594558823534</v>
      </c>
      <c r="L295" s="22">
        <f>(Table63[[#This Row],[Unit sold Filled]]*Table63[[#This Row],[Unit Price Filled]])-(Table63[[#This Row],[Unit sold Filled]]*Table63[[#This Row],[Unit Cost]])</f>
        <v>60600.375500000009</v>
      </c>
      <c r="M295" s="27">
        <f>IF(Table63[[#This Row],[Total Revenue]]=0,0,Table63[[#This Row],[Profit]]/Table63[[#This Row],[Total Revenue]])</f>
        <v>0.61120144534778686</v>
      </c>
      <c r="N295" s="28" t="str">
        <f>YEAR(Table63[[#This Row],[Order Date]])&amp;"-"&amp;TEXT(Table63[[#This Row],[Order Date]],"mm")</f>
        <v>2023-10</v>
      </c>
      <c r="O295" s="22">
        <f>IF(Table63[[#This Row],[Unit sold Filled]]=0,0,Table63[[#This Row],[Total Revenue]]/Table63[[#This Row],[Unit sold Filled]])</f>
        <v>387.45</v>
      </c>
    </row>
    <row r="296" spans="1:15" ht="15" thickBot="1" x14ac:dyDescent="0.35">
      <c r="A296" s="15" t="s">
        <v>323</v>
      </c>
      <c r="B296" s="17" t="s">
        <v>48</v>
      </c>
      <c r="C296" s="15" t="s">
        <v>12</v>
      </c>
      <c r="D296" t="s">
        <v>27</v>
      </c>
      <c r="E296" s="15" t="s">
        <v>14</v>
      </c>
      <c r="F296" s="15" t="s">
        <v>20</v>
      </c>
      <c r="G296" s="18">
        <v>45221</v>
      </c>
      <c r="H296" s="24">
        <v>188</v>
      </c>
      <c r="I296" s="23">
        <v>136.12</v>
      </c>
      <c r="J296" s="17">
        <v>50.71</v>
      </c>
      <c r="K296">
        <v>25590.560000000001</v>
      </c>
      <c r="L296" s="22">
        <f>(Table63[[#This Row],[Unit sold Filled]]*Table63[[#This Row],[Unit Price Filled]])-(Table63[[#This Row],[Unit sold Filled]]*Table63[[#This Row],[Unit Cost]])</f>
        <v>16057.080000000002</v>
      </c>
      <c r="M296" s="27">
        <f>IF(Table63[[#This Row],[Total Revenue]]=0,0,Table63[[#This Row],[Profit]]/Table63[[#This Row],[Total Revenue]])</f>
        <v>0.62746106376726418</v>
      </c>
      <c r="N296" s="28" t="str">
        <f>YEAR(Table63[[#This Row],[Order Date]])&amp;"-"&amp;TEXT(Table63[[#This Row],[Order Date]],"mm")</f>
        <v>2023-10</v>
      </c>
      <c r="O296" s="22">
        <f>IF(Table63[[#This Row],[Unit sold Filled]]=0,0,Table63[[#This Row],[Total Revenue]]/Table63[[#This Row],[Unit sold Filled]])</f>
        <v>136.12</v>
      </c>
    </row>
    <row r="297" spans="1:15" ht="15" thickBot="1" x14ac:dyDescent="0.35">
      <c r="A297" s="1" t="s">
        <v>324</v>
      </c>
      <c r="B297" s="3" t="s">
        <v>17</v>
      </c>
      <c r="C297" s="1" t="s">
        <v>18</v>
      </c>
      <c r="D297" t="s">
        <v>23</v>
      </c>
      <c r="E297" s="1" t="s">
        <v>14</v>
      </c>
      <c r="F297" s="1" t="s">
        <v>20</v>
      </c>
      <c r="G297" s="2">
        <v>45222</v>
      </c>
      <c r="H297" s="24">
        <v>97</v>
      </c>
      <c r="I297" s="23">
        <v>324.42</v>
      </c>
      <c r="J297" s="3">
        <v>294.73</v>
      </c>
      <c r="K297">
        <v>31468.74</v>
      </c>
      <c r="L297" s="22">
        <f>(Table63[[#This Row],[Unit sold Filled]]*Table63[[#This Row],[Unit Price Filled]])-(Table63[[#This Row],[Unit sold Filled]]*Table63[[#This Row],[Unit Cost]])</f>
        <v>2879.9300000000003</v>
      </c>
      <c r="M297" s="27">
        <f>IF(Table63[[#This Row],[Total Revenue]]=0,0,Table63[[#This Row],[Profit]]/Table63[[#This Row],[Total Revenue]])</f>
        <v>9.1517169101781648E-2</v>
      </c>
      <c r="N297" s="28" t="str">
        <f>YEAR(Table63[[#This Row],[Order Date]])&amp;"-"&amp;TEXT(Table63[[#This Row],[Order Date]],"mm")</f>
        <v>2023-10</v>
      </c>
      <c r="O297" s="22">
        <f>IF(Table63[[#This Row],[Unit sold Filled]]=0,0,Table63[[#This Row],[Total Revenue]]/Table63[[#This Row],[Unit sold Filled]])</f>
        <v>324.42</v>
      </c>
    </row>
    <row r="298" spans="1:15" ht="15" thickBot="1" x14ac:dyDescent="0.35">
      <c r="A298" s="15" t="s">
        <v>325</v>
      </c>
      <c r="B298" s="17" t="s">
        <v>48</v>
      </c>
      <c r="C298" s="15" t="s">
        <v>12</v>
      </c>
      <c r="D298" t="s">
        <v>27</v>
      </c>
      <c r="E298" s="15" t="s">
        <v>24</v>
      </c>
      <c r="F298" s="15" t="s">
        <v>15</v>
      </c>
      <c r="G298" s="18">
        <v>45223</v>
      </c>
      <c r="H298" s="24">
        <v>50</v>
      </c>
      <c r="I298" s="23">
        <v>299.89999999999998</v>
      </c>
      <c r="J298" s="17">
        <v>95.87</v>
      </c>
      <c r="K298">
        <v>14994.999999999998</v>
      </c>
      <c r="L298" s="22">
        <f>(Table63[[#This Row],[Unit sold Filled]]*Table63[[#This Row],[Unit Price Filled]])-(Table63[[#This Row],[Unit sold Filled]]*Table63[[#This Row],[Unit Cost]])</f>
        <v>10201.499999999998</v>
      </c>
      <c r="M298" s="27">
        <f>IF(Table63[[#This Row],[Total Revenue]]=0,0,Table63[[#This Row],[Profit]]/Table63[[#This Row],[Total Revenue]])</f>
        <v>0.68032677559186394</v>
      </c>
      <c r="N298" s="28" t="str">
        <f>YEAR(Table63[[#This Row],[Order Date]])&amp;"-"&amp;TEXT(Table63[[#This Row],[Order Date]],"mm")</f>
        <v>2023-10</v>
      </c>
      <c r="O298" s="22">
        <f>IF(Table63[[#This Row],[Unit sold Filled]]=0,0,Table63[[#This Row],[Total Revenue]]/Table63[[#This Row],[Unit sold Filled]])</f>
        <v>299.89999999999998</v>
      </c>
    </row>
    <row r="299" spans="1:15" ht="15" thickBot="1" x14ac:dyDescent="0.35">
      <c r="A299" s="1" t="s">
        <v>326</v>
      </c>
      <c r="B299" s="3" t="s">
        <v>11</v>
      </c>
      <c r="C299" s="1" t="s">
        <v>12</v>
      </c>
      <c r="D299" t="s">
        <v>23</v>
      </c>
      <c r="E299" s="1" t="s">
        <v>24</v>
      </c>
      <c r="F299" s="1" t="s">
        <v>20</v>
      </c>
      <c r="G299" s="2">
        <v>45224</v>
      </c>
      <c r="H299" s="24">
        <v>410</v>
      </c>
      <c r="I299" s="23">
        <v>203.59</v>
      </c>
      <c r="J299" s="3">
        <v>149.83000000000001</v>
      </c>
      <c r="K299">
        <v>83471.899999999994</v>
      </c>
      <c r="L299" s="22">
        <f>(Table63[[#This Row],[Unit sold Filled]]*Table63[[#This Row],[Unit Price Filled]])-(Table63[[#This Row],[Unit sold Filled]]*Table63[[#This Row],[Unit Cost]])</f>
        <v>22041.599999999991</v>
      </c>
      <c r="M299" s="27">
        <f>IF(Table63[[#This Row],[Total Revenue]]=0,0,Table63[[#This Row],[Profit]]/Table63[[#This Row],[Total Revenue]])</f>
        <v>0.26406012083108199</v>
      </c>
      <c r="N299" s="28" t="str">
        <f>YEAR(Table63[[#This Row],[Order Date]])&amp;"-"&amp;TEXT(Table63[[#This Row],[Order Date]],"mm")</f>
        <v>2023-10</v>
      </c>
      <c r="O299" s="22">
        <f>IF(Table63[[#This Row],[Unit sold Filled]]=0,0,Table63[[#This Row],[Total Revenue]]/Table63[[#This Row],[Unit sold Filled]])</f>
        <v>203.58999999999997</v>
      </c>
    </row>
    <row r="300" spans="1:15" ht="15" thickBot="1" x14ac:dyDescent="0.35">
      <c r="A300" s="15" t="s">
        <v>327</v>
      </c>
      <c r="B300" s="17" t="s">
        <v>22</v>
      </c>
      <c r="C300" s="15" t="s">
        <v>31</v>
      </c>
      <c r="D300" t="s">
        <v>13</v>
      </c>
      <c r="E300" s="15" t="s">
        <v>24</v>
      </c>
      <c r="F300" s="15" t="s">
        <v>28</v>
      </c>
      <c r="G300" s="18">
        <v>45225</v>
      </c>
      <c r="H300" s="24">
        <v>85</v>
      </c>
      <c r="I300" s="23">
        <v>186.64</v>
      </c>
      <c r="J300" s="17">
        <v>26.89</v>
      </c>
      <c r="K300">
        <v>15864.4</v>
      </c>
      <c r="L300" s="22">
        <f>(Table63[[#This Row],[Unit sold Filled]]*Table63[[#This Row],[Unit Price Filled]])-(Table63[[#This Row],[Unit sold Filled]]*Table63[[#This Row],[Unit Cost]])</f>
        <v>13578.75</v>
      </c>
      <c r="M300" s="27">
        <f>IF(Table63[[#This Row],[Total Revenue]]=0,0,Table63[[#This Row],[Profit]]/Table63[[#This Row],[Total Revenue]])</f>
        <v>0.8559258465495071</v>
      </c>
      <c r="N300" s="28" t="str">
        <f>YEAR(Table63[[#This Row],[Order Date]])&amp;"-"&amp;TEXT(Table63[[#This Row],[Order Date]],"mm")</f>
        <v>2023-10</v>
      </c>
      <c r="O300" s="22">
        <f>IF(Table63[[#This Row],[Unit sold Filled]]=0,0,Table63[[#This Row],[Total Revenue]]/Table63[[#This Row],[Unit sold Filled]])</f>
        <v>186.64</v>
      </c>
    </row>
    <row r="301" spans="1:15" ht="15" thickBot="1" x14ac:dyDescent="0.35">
      <c r="A301" s="1" t="s">
        <v>328</v>
      </c>
      <c r="B301" s="3" t="s">
        <v>17</v>
      </c>
      <c r="C301" s="1" t="s">
        <v>26</v>
      </c>
      <c r="D301" t="s">
        <v>19</v>
      </c>
      <c r="E301" s="1" t="s">
        <v>14</v>
      </c>
      <c r="F301" s="1" t="s">
        <v>15</v>
      </c>
      <c r="G301" s="2">
        <v>45226</v>
      </c>
      <c r="H301" s="24">
        <v>386</v>
      </c>
      <c r="I301" s="23">
        <v>175.06</v>
      </c>
      <c r="J301" s="3">
        <v>320.94</v>
      </c>
      <c r="K301">
        <v>67573.16</v>
      </c>
      <c r="L301" s="22">
        <f>(Table63[[#This Row],[Unit sold Filled]]*Table63[[#This Row],[Unit Price Filled]])-(Table63[[#This Row],[Unit sold Filled]]*Table63[[#This Row],[Unit Cost]])</f>
        <v>-56309.679999999993</v>
      </c>
      <c r="M301" s="27">
        <f>IF(Table63[[#This Row],[Total Revenue]]=0,0,Table63[[#This Row],[Profit]]/Table63[[#This Row],[Total Revenue]])</f>
        <v>-0.83331429224265952</v>
      </c>
      <c r="N301" s="28" t="str">
        <f>YEAR(Table63[[#This Row],[Order Date]])&amp;"-"&amp;TEXT(Table63[[#This Row],[Order Date]],"mm")</f>
        <v>2023-10</v>
      </c>
      <c r="O301" s="22">
        <f>IF(Table63[[#This Row],[Unit sold Filled]]=0,0,Table63[[#This Row],[Total Revenue]]/Table63[[#This Row],[Unit sold Filled]])</f>
        <v>175.06</v>
      </c>
    </row>
    <row r="302" spans="1:15" ht="15" thickBot="1" x14ac:dyDescent="0.35">
      <c r="A302" s="15" t="s">
        <v>329</v>
      </c>
      <c r="B302" s="17" t="s">
        <v>22</v>
      </c>
      <c r="C302" s="15" t="s">
        <v>50</v>
      </c>
      <c r="D302" t="s">
        <v>13</v>
      </c>
      <c r="E302" s="15" t="s">
        <v>14</v>
      </c>
      <c r="F302" s="15" t="s">
        <v>20</v>
      </c>
      <c r="G302" s="18">
        <v>45227</v>
      </c>
      <c r="H302" s="24">
        <v>55</v>
      </c>
      <c r="I302" s="23">
        <v>310.49</v>
      </c>
      <c r="J302" s="17">
        <v>307.10000000000002</v>
      </c>
      <c r="K302">
        <v>17076.95</v>
      </c>
      <c r="L302" s="22">
        <f>(Table63[[#This Row],[Unit sold Filled]]*Table63[[#This Row],[Unit Price Filled]])-(Table63[[#This Row],[Unit sold Filled]]*Table63[[#This Row],[Unit Cost]])</f>
        <v>186.45000000000073</v>
      </c>
      <c r="M302" s="27">
        <f>IF(Table63[[#This Row],[Total Revenue]]=0,0,Table63[[#This Row],[Profit]]/Table63[[#This Row],[Total Revenue]])</f>
        <v>1.0918226029823869E-2</v>
      </c>
      <c r="N302" s="28" t="str">
        <f>YEAR(Table63[[#This Row],[Order Date]])&amp;"-"&amp;TEXT(Table63[[#This Row],[Order Date]],"mm")</f>
        <v>2023-10</v>
      </c>
      <c r="O302" s="22">
        <f>IF(Table63[[#This Row],[Unit sold Filled]]=0,0,Table63[[#This Row],[Total Revenue]]/Table63[[#This Row],[Unit sold Filled]])</f>
        <v>310.49</v>
      </c>
    </row>
    <row r="303" spans="1:15" ht="15" thickBot="1" x14ac:dyDescent="0.35">
      <c r="A303" s="1" t="s">
        <v>330</v>
      </c>
      <c r="B303" s="3" t="s">
        <v>22</v>
      </c>
      <c r="C303" s="1" t="s">
        <v>50</v>
      </c>
      <c r="D303" t="s">
        <v>27</v>
      </c>
      <c r="E303" s="1" t="s">
        <v>24</v>
      </c>
      <c r="F303" s="1" t="s">
        <v>15</v>
      </c>
      <c r="G303" s="2">
        <v>45228</v>
      </c>
      <c r="H303" s="24">
        <v>169</v>
      </c>
      <c r="I303" s="23">
        <v>223.99</v>
      </c>
      <c r="J303" s="3">
        <v>293.98</v>
      </c>
      <c r="K303">
        <v>37854.310000000005</v>
      </c>
      <c r="L303" s="22">
        <f>(Table63[[#This Row],[Unit sold Filled]]*Table63[[#This Row],[Unit Price Filled]])-(Table63[[#This Row],[Unit sold Filled]]*Table63[[#This Row],[Unit Cost]])</f>
        <v>-11828.309999999998</v>
      </c>
      <c r="M303" s="27">
        <f>IF(Table63[[#This Row],[Total Revenue]]=0,0,Table63[[#This Row],[Profit]]/Table63[[#This Row],[Total Revenue]])</f>
        <v>-0.31246930666547601</v>
      </c>
      <c r="N303" s="28" t="str">
        <f>YEAR(Table63[[#This Row],[Order Date]])&amp;"-"&amp;TEXT(Table63[[#This Row],[Order Date]],"mm")</f>
        <v>2023-10</v>
      </c>
      <c r="O303" s="22">
        <f>IF(Table63[[#This Row],[Unit sold Filled]]=0,0,Table63[[#This Row],[Total Revenue]]/Table63[[#This Row],[Unit sold Filled]])</f>
        <v>223.99000000000004</v>
      </c>
    </row>
    <row r="304" spans="1:15" ht="15" thickBot="1" x14ac:dyDescent="0.35">
      <c r="A304" s="15" t="s">
        <v>331</v>
      </c>
      <c r="B304" s="17" t="s">
        <v>11</v>
      </c>
      <c r="C304" s="15" t="s">
        <v>31</v>
      </c>
      <c r="D304" t="s">
        <v>19</v>
      </c>
      <c r="E304" s="15" t="s">
        <v>14</v>
      </c>
      <c r="F304" s="15" t="s">
        <v>28</v>
      </c>
      <c r="G304" s="18">
        <v>45229</v>
      </c>
      <c r="H304" s="24">
        <v>472</v>
      </c>
      <c r="I304" s="23">
        <v>416.77</v>
      </c>
      <c r="J304" s="17">
        <v>121.18</v>
      </c>
      <c r="K304">
        <v>196715.44</v>
      </c>
      <c r="L304" s="22">
        <f>(Table63[[#This Row],[Unit sold Filled]]*Table63[[#This Row],[Unit Price Filled]])-(Table63[[#This Row],[Unit sold Filled]]*Table63[[#This Row],[Unit Cost]])</f>
        <v>139518.47999999998</v>
      </c>
      <c r="M304" s="27">
        <f>IF(Table63[[#This Row],[Total Revenue]]=0,0,Table63[[#This Row],[Profit]]/Table63[[#This Row],[Total Revenue]])</f>
        <v>0.70924010845310348</v>
      </c>
      <c r="N304" s="28" t="str">
        <f>YEAR(Table63[[#This Row],[Order Date]])&amp;"-"&amp;TEXT(Table63[[#This Row],[Order Date]],"mm")</f>
        <v>2023-10</v>
      </c>
      <c r="O304" s="22">
        <f>IF(Table63[[#This Row],[Unit sold Filled]]=0,0,Table63[[#This Row],[Total Revenue]]/Table63[[#This Row],[Unit sold Filled]])</f>
        <v>416.77</v>
      </c>
    </row>
    <row r="305" spans="1:15" ht="15" thickBot="1" x14ac:dyDescent="0.35">
      <c r="A305" s="1" t="s">
        <v>332</v>
      </c>
      <c r="B305" s="3" t="s">
        <v>48</v>
      </c>
      <c r="C305" s="1" t="s">
        <v>12</v>
      </c>
      <c r="D305" t="s">
        <v>23</v>
      </c>
      <c r="E305" s="1" t="s">
        <v>14</v>
      </c>
      <c r="F305" s="1" t="s">
        <v>28</v>
      </c>
      <c r="G305" s="2">
        <v>45230</v>
      </c>
      <c r="H305" s="24">
        <v>89</v>
      </c>
      <c r="I305" s="23">
        <v>336.45</v>
      </c>
      <c r="J305" s="3">
        <v>71.05</v>
      </c>
      <c r="K305">
        <v>29944.05</v>
      </c>
      <c r="L305" s="22">
        <f>(Table63[[#This Row],[Unit sold Filled]]*Table63[[#This Row],[Unit Price Filled]])-(Table63[[#This Row],[Unit sold Filled]]*Table63[[#This Row],[Unit Cost]])</f>
        <v>23620.6</v>
      </c>
      <c r="M305" s="27">
        <f>IF(Table63[[#This Row],[Total Revenue]]=0,0,Table63[[#This Row],[Profit]]/Table63[[#This Row],[Total Revenue]])</f>
        <v>0.78882449100906527</v>
      </c>
      <c r="N305" s="28" t="str">
        <f>YEAR(Table63[[#This Row],[Order Date]])&amp;"-"&amp;TEXT(Table63[[#This Row],[Order Date]],"mm")</f>
        <v>2023-10</v>
      </c>
      <c r="O305" s="22">
        <f>IF(Table63[[#This Row],[Unit sold Filled]]=0,0,Table63[[#This Row],[Total Revenue]]/Table63[[#This Row],[Unit sold Filled]])</f>
        <v>336.45</v>
      </c>
    </row>
    <row r="306" spans="1:15" ht="15" thickBot="1" x14ac:dyDescent="0.35">
      <c r="A306" s="15" t="s">
        <v>333</v>
      </c>
      <c r="B306" s="17" t="s">
        <v>48</v>
      </c>
      <c r="C306" s="15" t="s">
        <v>18</v>
      </c>
      <c r="D306" t="s">
        <v>19</v>
      </c>
      <c r="E306" s="15" t="s">
        <v>14</v>
      </c>
      <c r="F306" s="15" t="s">
        <v>20</v>
      </c>
      <c r="G306" s="18">
        <v>45231</v>
      </c>
      <c r="H306" s="24">
        <v>319</v>
      </c>
      <c r="I306" s="23">
        <v>39.619999999999997</v>
      </c>
      <c r="J306" s="17">
        <v>255.75</v>
      </c>
      <c r="K306">
        <v>12638.779999999999</v>
      </c>
      <c r="L306" s="22">
        <f>(Table63[[#This Row],[Unit sold Filled]]*Table63[[#This Row],[Unit Price Filled]])-(Table63[[#This Row],[Unit sold Filled]]*Table63[[#This Row],[Unit Cost]])</f>
        <v>-68945.47</v>
      </c>
      <c r="M306" s="27">
        <f>IF(Table63[[#This Row],[Total Revenue]]=0,0,Table63[[#This Row],[Profit]]/Table63[[#This Row],[Total Revenue]])</f>
        <v>-5.4550731953558813</v>
      </c>
      <c r="N306" s="28" t="str">
        <f>YEAR(Table63[[#This Row],[Order Date]])&amp;"-"&amp;TEXT(Table63[[#This Row],[Order Date]],"mm")</f>
        <v>2023-11</v>
      </c>
      <c r="O306" s="22">
        <f>IF(Table63[[#This Row],[Unit sold Filled]]=0,0,Table63[[#This Row],[Total Revenue]]/Table63[[#This Row],[Unit sold Filled]])</f>
        <v>39.619999999999997</v>
      </c>
    </row>
    <row r="307" spans="1:15" ht="15" thickBot="1" x14ac:dyDescent="0.35">
      <c r="A307" s="1" t="s">
        <v>334</v>
      </c>
      <c r="B307" s="3" t="s">
        <v>22</v>
      </c>
      <c r="C307" s="1" t="s">
        <v>12</v>
      </c>
      <c r="D307" t="s">
        <v>389</v>
      </c>
      <c r="E307" s="1" t="s">
        <v>14</v>
      </c>
      <c r="F307" s="1" t="s">
        <v>28</v>
      </c>
      <c r="G307" s="2">
        <v>45232</v>
      </c>
      <c r="H307" s="24">
        <v>95</v>
      </c>
      <c r="I307" s="23">
        <v>321.88</v>
      </c>
      <c r="J307" s="3">
        <v>199.47</v>
      </c>
      <c r="K307">
        <v>30578.6</v>
      </c>
      <c r="L307" s="22">
        <f>(Table63[[#This Row],[Unit sold Filled]]*Table63[[#This Row],[Unit Price Filled]])-(Table63[[#This Row],[Unit sold Filled]]*Table63[[#This Row],[Unit Cost]])</f>
        <v>11628.949999999997</v>
      </c>
      <c r="M307" s="27">
        <f>IF(Table63[[#This Row],[Total Revenue]]=0,0,Table63[[#This Row],[Profit]]/Table63[[#This Row],[Total Revenue]])</f>
        <v>0.38029700509506642</v>
      </c>
      <c r="N307" s="28" t="str">
        <f>YEAR(Table63[[#This Row],[Order Date]])&amp;"-"&amp;TEXT(Table63[[#This Row],[Order Date]],"mm")</f>
        <v>2023-11</v>
      </c>
      <c r="O307" s="22">
        <f>IF(Table63[[#This Row],[Unit sold Filled]]=0,0,Table63[[#This Row],[Total Revenue]]/Table63[[#This Row],[Unit sold Filled]])</f>
        <v>321.88</v>
      </c>
    </row>
    <row r="308" spans="1:15" ht="15" thickBot="1" x14ac:dyDescent="0.35">
      <c r="A308" s="15" t="s">
        <v>335</v>
      </c>
      <c r="B308" s="17" t="s">
        <v>17</v>
      </c>
      <c r="C308" s="15" t="s">
        <v>31</v>
      </c>
      <c r="D308" t="s">
        <v>389</v>
      </c>
      <c r="E308" s="15" t="s">
        <v>24</v>
      </c>
      <c r="F308" s="15" t="s">
        <v>15</v>
      </c>
      <c r="G308" s="18">
        <v>45233</v>
      </c>
      <c r="H308" s="24">
        <v>101</v>
      </c>
      <c r="I308" s="23">
        <v>139.22</v>
      </c>
      <c r="J308" s="17">
        <v>72.94</v>
      </c>
      <c r="K308">
        <v>14061.22</v>
      </c>
      <c r="L308" s="22">
        <f>(Table63[[#This Row],[Unit sold Filled]]*Table63[[#This Row],[Unit Price Filled]])-(Table63[[#This Row],[Unit sold Filled]]*Table63[[#This Row],[Unit Cost]])</f>
        <v>6694.28</v>
      </c>
      <c r="M308" s="27">
        <f>IF(Table63[[#This Row],[Total Revenue]]=0,0,Table63[[#This Row],[Profit]]/Table63[[#This Row],[Total Revenue]])</f>
        <v>0.47608102284154574</v>
      </c>
      <c r="N308" s="28" t="str">
        <f>YEAR(Table63[[#This Row],[Order Date]])&amp;"-"&amp;TEXT(Table63[[#This Row],[Order Date]],"mm")</f>
        <v>2023-11</v>
      </c>
      <c r="O308" s="22">
        <f>IF(Table63[[#This Row],[Unit sold Filled]]=0,0,Table63[[#This Row],[Total Revenue]]/Table63[[#This Row],[Unit sold Filled]])</f>
        <v>139.22</v>
      </c>
    </row>
    <row r="309" spans="1:15" ht="15" thickBot="1" x14ac:dyDescent="0.35">
      <c r="A309" s="1" t="s">
        <v>336</v>
      </c>
      <c r="B309" s="3" t="s">
        <v>48</v>
      </c>
      <c r="C309" s="1" t="s">
        <v>50</v>
      </c>
      <c r="D309" t="s">
        <v>389</v>
      </c>
      <c r="E309" s="1" t="s">
        <v>14</v>
      </c>
      <c r="F309" s="1" t="s">
        <v>28</v>
      </c>
      <c r="G309" s="2">
        <v>45234</v>
      </c>
      <c r="H309" s="24">
        <v>157</v>
      </c>
      <c r="I309" s="23">
        <v>249.64520588235297</v>
      </c>
      <c r="J309" s="3">
        <v>274.99</v>
      </c>
      <c r="K309">
        <v>39194.297323529419</v>
      </c>
      <c r="L309" s="22">
        <f>(Table63[[#This Row],[Unit sold Filled]]*Table63[[#This Row],[Unit Price Filled]])-(Table63[[#This Row],[Unit sold Filled]]*Table63[[#This Row],[Unit Cost]])</f>
        <v>-3979.1326764705809</v>
      </c>
      <c r="M309" s="27">
        <f>IF(Table63[[#This Row],[Total Revenue]]=0,0,Table63[[#This Row],[Profit]]/Table63[[#This Row],[Total Revenue]])</f>
        <v>-0.10152325588655975</v>
      </c>
      <c r="N309" s="28" t="str">
        <f>YEAR(Table63[[#This Row],[Order Date]])&amp;"-"&amp;TEXT(Table63[[#This Row],[Order Date]],"mm")</f>
        <v>2023-11</v>
      </c>
      <c r="O309" s="22">
        <f>IF(Table63[[#This Row],[Unit sold Filled]]=0,0,Table63[[#This Row],[Total Revenue]]/Table63[[#This Row],[Unit sold Filled]])</f>
        <v>249.645205882353</v>
      </c>
    </row>
    <row r="310" spans="1:15" ht="15" thickBot="1" x14ac:dyDescent="0.35">
      <c r="A310" s="15" t="s">
        <v>337</v>
      </c>
      <c r="B310" s="17" t="s">
        <v>17</v>
      </c>
      <c r="C310" s="15" t="s">
        <v>12</v>
      </c>
      <c r="D310" t="s">
        <v>19</v>
      </c>
      <c r="E310" s="15" t="s">
        <v>14</v>
      </c>
      <c r="F310" s="15" t="s">
        <v>15</v>
      </c>
      <c r="G310" s="18">
        <v>45235</v>
      </c>
      <c r="H310" s="24">
        <v>170</v>
      </c>
      <c r="I310" s="23">
        <v>341.67</v>
      </c>
      <c r="J310" s="17">
        <v>396.47</v>
      </c>
      <c r="K310">
        <v>58083.9</v>
      </c>
      <c r="L310" s="22">
        <f>(Table63[[#This Row],[Unit sold Filled]]*Table63[[#This Row],[Unit Price Filled]])-(Table63[[#This Row],[Unit sold Filled]]*Table63[[#This Row],[Unit Cost]])</f>
        <v>-9316.0000000000073</v>
      </c>
      <c r="M310" s="27">
        <f>IF(Table63[[#This Row],[Total Revenue]]=0,0,Table63[[#This Row],[Profit]]/Table63[[#This Row],[Total Revenue]])</f>
        <v>-0.16038867913483784</v>
      </c>
      <c r="N310" s="28" t="str">
        <f>YEAR(Table63[[#This Row],[Order Date]])&amp;"-"&amp;TEXT(Table63[[#This Row],[Order Date]],"mm")</f>
        <v>2023-11</v>
      </c>
      <c r="O310" s="22">
        <f>IF(Table63[[#This Row],[Unit sold Filled]]=0,0,Table63[[#This Row],[Total Revenue]]/Table63[[#This Row],[Unit sold Filled]])</f>
        <v>341.67</v>
      </c>
    </row>
    <row r="311" spans="1:15" ht="15" thickBot="1" x14ac:dyDescent="0.35">
      <c r="A311" s="1" t="s">
        <v>338</v>
      </c>
      <c r="B311" s="3" t="s">
        <v>48</v>
      </c>
      <c r="C311" s="1" t="s">
        <v>50</v>
      </c>
      <c r="D311" t="s">
        <v>42</v>
      </c>
      <c r="E311" s="1" t="s">
        <v>14</v>
      </c>
      <c r="F311" s="1" t="s">
        <v>15</v>
      </c>
      <c r="G311" s="2">
        <v>45236</v>
      </c>
      <c r="H311" s="24">
        <v>211</v>
      </c>
      <c r="I311" s="23">
        <v>119.26</v>
      </c>
      <c r="J311" s="3">
        <v>299.39</v>
      </c>
      <c r="K311">
        <v>25163.86</v>
      </c>
      <c r="L311" s="22">
        <f>(Table63[[#This Row],[Unit sold Filled]]*Table63[[#This Row],[Unit Price Filled]])-(Table63[[#This Row],[Unit sold Filled]]*Table63[[#This Row],[Unit Cost]])</f>
        <v>-38007.429999999993</v>
      </c>
      <c r="M311" s="27">
        <f>IF(Table63[[#This Row],[Total Revenue]]=0,0,Table63[[#This Row],[Profit]]/Table63[[#This Row],[Total Revenue]])</f>
        <v>-1.5103974509475093</v>
      </c>
      <c r="N311" s="28" t="str">
        <f>YEAR(Table63[[#This Row],[Order Date]])&amp;"-"&amp;TEXT(Table63[[#This Row],[Order Date]],"mm")</f>
        <v>2023-11</v>
      </c>
      <c r="O311" s="22">
        <f>IF(Table63[[#This Row],[Unit sold Filled]]=0,0,Table63[[#This Row],[Total Revenue]]/Table63[[#This Row],[Unit sold Filled]])</f>
        <v>119.26</v>
      </c>
    </row>
    <row r="312" spans="1:15" ht="15" thickBot="1" x14ac:dyDescent="0.35">
      <c r="A312" s="15" t="s">
        <v>339</v>
      </c>
      <c r="B312" s="17" t="s">
        <v>17</v>
      </c>
      <c r="C312" s="15" t="s">
        <v>18</v>
      </c>
      <c r="D312" t="s">
        <v>27</v>
      </c>
      <c r="E312" s="15" t="s">
        <v>14</v>
      </c>
      <c r="F312" s="15" t="s">
        <v>28</v>
      </c>
      <c r="G312" s="18">
        <v>45237</v>
      </c>
      <c r="H312" s="24">
        <v>433</v>
      </c>
      <c r="I312" s="23">
        <v>231.15</v>
      </c>
      <c r="J312" s="17">
        <v>296.51</v>
      </c>
      <c r="K312">
        <v>100087.95</v>
      </c>
      <c r="L312" s="22">
        <f>(Table63[[#This Row],[Unit sold Filled]]*Table63[[#This Row],[Unit Price Filled]])-(Table63[[#This Row],[Unit sold Filled]]*Table63[[#This Row],[Unit Cost]])</f>
        <v>-28300.880000000005</v>
      </c>
      <c r="M312" s="27">
        <f>IF(Table63[[#This Row],[Total Revenue]]=0,0,Table63[[#This Row],[Profit]]/Table63[[#This Row],[Total Revenue]])</f>
        <v>-0.28276011248107297</v>
      </c>
      <c r="N312" s="28" t="str">
        <f>YEAR(Table63[[#This Row],[Order Date]])&amp;"-"&amp;TEXT(Table63[[#This Row],[Order Date]],"mm")</f>
        <v>2023-11</v>
      </c>
      <c r="O312" s="22">
        <f>IF(Table63[[#This Row],[Unit sold Filled]]=0,0,Table63[[#This Row],[Total Revenue]]/Table63[[#This Row],[Unit sold Filled]])</f>
        <v>231.15</v>
      </c>
    </row>
    <row r="313" spans="1:15" ht="15" thickBot="1" x14ac:dyDescent="0.35">
      <c r="A313" s="1" t="s">
        <v>340</v>
      </c>
      <c r="B313" s="3" t="s">
        <v>11</v>
      </c>
      <c r="C313" s="1" t="s">
        <v>50</v>
      </c>
      <c r="D313" t="s">
        <v>13</v>
      </c>
      <c r="E313" s="1" t="s">
        <v>24</v>
      </c>
      <c r="F313" s="1" t="s">
        <v>20</v>
      </c>
      <c r="G313" s="2">
        <v>45238</v>
      </c>
      <c r="H313" s="24">
        <v>425</v>
      </c>
      <c r="I313" s="23">
        <v>99.21</v>
      </c>
      <c r="J313" s="3">
        <v>380.22</v>
      </c>
      <c r="K313">
        <v>42164.25</v>
      </c>
      <c r="L313" s="22">
        <f>(Table63[[#This Row],[Unit sold Filled]]*Table63[[#This Row],[Unit Price Filled]])-(Table63[[#This Row],[Unit sold Filled]]*Table63[[#This Row],[Unit Cost]])</f>
        <v>-119429.25</v>
      </c>
      <c r="M313" s="27">
        <f>IF(Table63[[#This Row],[Total Revenue]]=0,0,Table63[[#This Row],[Profit]]/Table63[[#This Row],[Total Revenue]])</f>
        <v>-2.8324765648624131</v>
      </c>
      <c r="N313" s="28" t="str">
        <f>YEAR(Table63[[#This Row],[Order Date]])&amp;"-"&amp;TEXT(Table63[[#This Row],[Order Date]],"mm")</f>
        <v>2023-11</v>
      </c>
      <c r="O313" s="22">
        <f>IF(Table63[[#This Row],[Unit sold Filled]]=0,0,Table63[[#This Row],[Total Revenue]]/Table63[[#This Row],[Unit sold Filled]])</f>
        <v>99.21</v>
      </c>
    </row>
    <row r="314" spans="1:15" ht="15" thickBot="1" x14ac:dyDescent="0.35">
      <c r="A314" s="15" t="s">
        <v>341</v>
      </c>
      <c r="B314" s="17" t="s">
        <v>17</v>
      </c>
      <c r="C314" s="15" t="s">
        <v>50</v>
      </c>
      <c r="D314" t="s">
        <v>23</v>
      </c>
      <c r="E314" s="15" t="s">
        <v>24</v>
      </c>
      <c r="F314" s="15" t="s">
        <v>28</v>
      </c>
      <c r="G314" s="18">
        <v>45239</v>
      </c>
      <c r="H314" s="24">
        <v>251</v>
      </c>
      <c r="I314" s="23">
        <v>30.91</v>
      </c>
      <c r="J314" s="17">
        <v>82.77</v>
      </c>
      <c r="K314">
        <v>7758.41</v>
      </c>
      <c r="L314" s="22">
        <f>(Table63[[#This Row],[Unit sold Filled]]*Table63[[#This Row],[Unit Price Filled]])-(Table63[[#This Row],[Unit sold Filled]]*Table63[[#This Row],[Unit Cost]])</f>
        <v>-13016.86</v>
      </c>
      <c r="M314" s="27">
        <f>IF(Table63[[#This Row],[Total Revenue]]=0,0,Table63[[#This Row],[Profit]]/Table63[[#This Row],[Total Revenue]])</f>
        <v>-1.6777741831122615</v>
      </c>
      <c r="N314" s="28" t="str">
        <f>YEAR(Table63[[#This Row],[Order Date]])&amp;"-"&amp;TEXT(Table63[[#This Row],[Order Date]],"mm")</f>
        <v>2023-11</v>
      </c>
      <c r="O314" s="22">
        <f>IF(Table63[[#This Row],[Unit sold Filled]]=0,0,Table63[[#This Row],[Total Revenue]]/Table63[[#This Row],[Unit sold Filled]])</f>
        <v>30.91</v>
      </c>
    </row>
    <row r="315" spans="1:15" ht="15" thickBot="1" x14ac:dyDescent="0.35">
      <c r="A315" s="1" t="s">
        <v>342</v>
      </c>
      <c r="B315" s="3" t="s">
        <v>11</v>
      </c>
      <c r="C315" s="1" t="s">
        <v>26</v>
      </c>
      <c r="D315" t="s">
        <v>19</v>
      </c>
      <c r="E315" s="1" t="s">
        <v>14</v>
      </c>
      <c r="F315" s="1" t="s">
        <v>15</v>
      </c>
      <c r="G315" s="2">
        <v>45240</v>
      </c>
      <c r="H315" s="24">
        <v>255.90294117647059</v>
      </c>
      <c r="I315" s="23">
        <v>192.35</v>
      </c>
      <c r="J315" s="3">
        <v>227.09</v>
      </c>
      <c r="K315">
        <v>49222.930735294118</v>
      </c>
      <c r="L315" s="22">
        <f>(Table63[[#This Row],[Unit sold Filled]]*Table63[[#This Row],[Unit Price Filled]])-(Table63[[#This Row],[Unit sold Filled]]*Table63[[#This Row],[Unit Cost]])</f>
        <v>-8890.0681764705878</v>
      </c>
      <c r="M315" s="27">
        <f>IF(Table63[[#This Row],[Total Revenue]]=0,0,Table63[[#This Row],[Profit]]/Table63[[#This Row],[Total Revenue]])</f>
        <v>-0.18060826618144007</v>
      </c>
      <c r="N315" s="28" t="str">
        <f>YEAR(Table63[[#This Row],[Order Date]])&amp;"-"&amp;TEXT(Table63[[#This Row],[Order Date]],"mm")</f>
        <v>2023-11</v>
      </c>
      <c r="O315" s="22">
        <f>IF(Table63[[#This Row],[Unit sold Filled]]=0,0,Table63[[#This Row],[Total Revenue]]/Table63[[#This Row],[Unit sold Filled]])</f>
        <v>192.35</v>
      </c>
    </row>
    <row r="316" spans="1:15" ht="15" thickBot="1" x14ac:dyDescent="0.35">
      <c r="A316" s="15" t="s">
        <v>343</v>
      </c>
      <c r="B316" s="17" t="s">
        <v>11</v>
      </c>
      <c r="C316" s="15" t="s">
        <v>26</v>
      </c>
      <c r="D316" t="s">
        <v>13</v>
      </c>
      <c r="E316" s="15" t="s">
        <v>14</v>
      </c>
      <c r="F316" s="15" t="s">
        <v>15</v>
      </c>
      <c r="G316" s="18">
        <v>45241</v>
      </c>
      <c r="H316" s="24">
        <v>11</v>
      </c>
      <c r="I316" s="23">
        <v>184.66</v>
      </c>
      <c r="J316" s="17">
        <v>391.9</v>
      </c>
      <c r="K316">
        <v>2031.26</v>
      </c>
      <c r="L316" s="22">
        <f>(Table63[[#This Row],[Unit sold Filled]]*Table63[[#This Row],[Unit Price Filled]])-(Table63[[#This Row],[Unit sold Filled]]*Table63[[#This Row],[Unit Cost]])</f>
        <v>-2279.6399999999994</v>
      </c>
      <c r="M316" s="27">
        <f>IF(Table63[[#This Row],[Total Revenue]]=0,0,Table63[[#This Row],[Profit]]/Table63[[#This Row],[Total Revenue]])</f>
        <v>-1.1222787826275313</v>
      </c>
      <c r="N316" s="28" t="str">
        <f>YEAR(Table63[[#This Row],[Order Date]])&amp;"-"&amp;TEXT(Table63[[#This Row],[Order Date]],"mm")</f>
        <v>2023-11</v>
      </c>
      <c r="O316" s="22">
        <f>IF(Table63[[#This Row],[Unit sold Filled]]=0,0,Table63[[#This Row],[Total Revenue]]/Table63[[#This Row],[Unit sold Filled]])</f>
        <v>184.66</v>
      </c>
    </row>
    <row r="317" spans="1:15" ht="15" thickBot="1" x14ac:dyDescent="0.35">
      <c r="A317" s="1" t="s">
        <v>344</v>
      </c>
      <c r="B317" s="3" t="s">
        <v>17</v>
      </c>
      <c r="C317" s="1" t="s">
        <v>26</v>
      </c>
      <c r="D317" t="s">
        <v>23</v>
      </c>
      <c r="E317" s="1" t="s">
        <v>14</v>
      </c>
      <c r="F317" s="1" t="s">
        <v>28</v>
      </c>
      <c r="G317" s="2">
        <v>45242</v>
      </c>
      <c r="H317" s="24">
        <v>234</v>
      </c>
      <c r="I317" s="23">
        <v>497.76</v>
      </c>
      <c r="J317" s="3">
        <v>67.790000000000006</v>
      </c>
      <c r="K317">
        <v>116475.84</v>
      </c>
      <c r="L317" s="22">
        <f>(Table63[[#This Row],[Unit sold Filled]]*Table63[[#This Row],[Unit Price Filled]])-(Table63[[#This Row],[Unit sold Filled]]*Table63[[#This Row],[Unit Cost]])</f>
        <v>100612.98</v>
      </c>
      <c r="M317" s="27">
        <f>IF(Table63[[#This Row],[Total Revenue]]=0,0,Table63[[#This Row],[Profit]]/Table63[[#This Row],[Total Revenue]])</f>
        <v>0.86380986820957895</v>
      </c>
      <c r="N317" s="28" t="str">
        <f>YEAR(Table63[[#This Row],[Order Date]])&amp;"-"&amp;TEXT(Table63[[#This Row],[Order Date]],"mm")</f>
        <v>2023-11</v>
      </c>
      <c r="O317" s="22">
        <f>IF(Table63[[#This Row],[Unit sold Filled]]=0,0,Table63[[#This Row],[Total Revenue]]/Table63[[#This Row],[Unit sold Filled]])</f>
        <v>497.76</v>
      </c>
    </row>
    <row r="318" spans="1:15" ht="15" thickBot="1" x14ac:dyDescent="0.35">
      <c r="A318" s="15" t="s">
        <v>345</v>
      </c>
      <c r="B318" s="17" t="s">
        <v>11</v>
      </c>
      <c r="C318" s="15" t="s">
        <v>50</v>
      </c>
      <c r="D318" t="s">
        <v>23</v>
      </c>
      <c r="E318" s="15" t="s">
        <v>14</v>
      </c>
      <c r="F318" s="15" t="s">
        <v>20</v>
      </c>
      <c r="G318" s="18">
        <v>45243</v>
      </c>
      <c r="H318" s="24">
        <v>255.90294117647059</v>
      </c>
      <c r="I318" s="23">
        <v>225.94</v>
      </c>
      <c r="J318" s="17">
        <v>280.7</v>
      </c>
      <c r="K318">
        <v>57818.710529411765</v>
      </c>
      <c r="L318" s="22">
        <f>(Table63[[#This Row],[Unit sold Filled]]*Table63[[#This Row],[Unit Price Filled]])-(Table63[[#This Row],[Unit sold Filled]]*Table63[[#This Row],[Unit Cost]])</f>
        <v>-14013.245058823522</v>
      </c>
      <c r="M318" s="27">
        <f>IF(Table63[[#This Row],[Total Revenue]]=0,0,Table63[[#This Row],[Profit]]/Table63[[#This Row],[Total Revenue]])</f>
        <v>-0.24236522970700175</v>
      </c>
      <c r="N318" s="28" t="str">
        <f>YEAR(Table63[[#This Row],[Order Date]])&amp;"-"&amp;TEXT(Table63[[#This Row],[Order Date]],"mm")</f>
        <v>2023-11</v>
      </c>
      <c r="O318" s="22">
        <f>IF(Table63[[#This Row],[Unit sold Filled]]=0,0,Table63[[#This Row],[Total Revenue]]/Table63[[#This Row],[Unit sold Filled]])</f>
        <v>225.94</v>
      </c>
    </row>
    <row r="319" spans="1:15" ht="15" thickBot="1" x14ac:dyDescent="0.35">
      <c r="A319" s="1" t="s">
        <v>346</v>
      </c>
      <c r="B319" s="3" t="s">
        <v>22</v>
      </c>
      <c r="C319" s="1" t="s">
        <v>31</v>
      </c>
      <c r="D319" t="s">
        <v>42</v>
      </c>
      <c r="E319" s="1" t="s">
        <v>14</v>
      </c>
      <c r="F319" s="1" t="s">
        <v>20</v>
      </c>
      <c r="G319" s="2">
        <v>45244</v>
      </c>
      <c r="H319" s="24">
        <v>242</v>
      </c>
      <c r="I319" s="23">
        <v>170.12</v>
      </c>
      <c r="J319" s="3">
        <v>235.15</v>
      </c>
      <c r="K319">
        <v>41169.040000000001</v>
      </c>
      <c r="L319" s="22">
        <f>(Table63[[#This Row],[Unit sold Filled]]*Table63[[#This Row],[Unit Price Filled]])-(Table63[[#This Row],[Unit sold Filled]]*Table63[[#This Row],[Unit Cost]])</f>
        <v>-15737.260000000002</v>
      </c>
      <c r="M319" s="27">
        <f>IF(Table63[[#This Row],[Total Revenue]]=0,0,Table63[[#This Row],[Profit]]/Table63[[#This Row],[Total Revenue]])</f>
        <v>-0.38225958147190225</v>
      </c>
      <c r="N319" s="28" t="str">
        <f>YEAR(Table63[[#This Row],[Order Date]])&amp;"-"&amp;TEXT(Table63[[#This Row],[Order Date]],"mm")</f>
        <v>2023-11</v>
      </c>
      <c r="O319" s="22">
        <f>IF(Table63[[#This Row],[Unit sold Filled]]=0,0,Table63[[#This Row],[Total Revenue]]/Table63[[#This Row],[Unit sold Filled]])</f>
        <v>170.12</v>
      </c>
    </row>
    <row r="320" spans="1:15" ht="15" thickBot="1" x14ac:dyDescent="0.35">
      <c r="A320" s="15" t="s">
        <v>347</v>
      </c>
      <c r="B320" s="17" t="s">
        <v>11</v>
      </c>
      <c r="C320" s="15" t="s">
        <v>50</v>
      </c>
      <c r="D320" t="s">
        <v>27</v>
      </c>
      <c r="E320" s="15" t="s">
        <v>14</v>
      </c>
      <c r="F320" s="15" t="s">
        <v>15</v>
      </c>
      <c r="G320" s="18">
        <v>45245</v>
      </c>
      <c r="H320" s="24">
        <v>470</v>
      </c>
      <c r="I320" s="23">
        <v>292.33999999999997</v>
      </c>
      <c r="J320" s="17">
        <v>235.42</v>
      </c>
      <c r="K320">
        <v>137399.79999999999</v>
      </c>
      <c r="L320" s="22">
        <f>(Table63[[#This Row],[Unit sold Filled]]*Table63[[#This Row],[Unit Price Filled]])-(Table63[[#This Row],[Unit sold Filled]]*Table63[[#This Row],[Unit Cost]])</f>
        <v>26752.399999999994</v>
      </c>
      <c r="M320" s="27">
        <f>IF(Table63[[#This Row],[Total Revenue]]=0,0,Table63[[#This Row],[Profit]]/Table63[[#This Row],[Total Revenue]])</f>
        <v>0.19470479578572891</v>
      </c>
      <c r="N320" s="28" t="str">
        <f>YEAR(Table63[[#This Row],[Order Date]])&amp;"-"&amp;TEXT(Table63[[#This Row],[Order Date]],"mm")</f>
        <v>2023-11</v>
      </c>
      <c r="O320" s="22">
        <f>IF(Table63[[#This Row],[Unit sold Filled]]=0,0,Table63[[#This Row],[Total Revenue]]/Table63[[#This Row],[Unit sold Filled]])</f>
        <v>292.33999999999997</v>
      </c>
    </row>
    <row r="321" spans="1:15" ht="15" thickBot="1" x14ac:dyDescent="0.35">
      <c r="A321" s="1" t="s">
        <v>348</v>
      </c>
      <c r="B321" s="3" t="s">
        <v>48</v>
      </c>
      <c r="C321" s="1" t="s">
        <v>31</v>
      </c>
      <c r="D321" t="s">
        <v>27</v>
      </c>
      <c r="E321" s="1" t="s">
        <v>24</v>
      </c>
      <c r="F321" s="1" t="s">
        <v>15</v>
      </c>
      <c r="G321" s="2">
        <v>45246</v>
      </c>
      <c r="H321" s="24">
        <v>423</v>
      </c>
      <c r="I321" s="23">
        <v>48.94</v>
      </c>
      <c r="J321" s="3">
        <v>279.67</v>
      </c>
      <c r="K321">
        <v>20701.62</v>
      </c>
      <c r="L321" s="22">
        <f>(Table63[[#This Row],[Unit sold Filled]]*Table63[[#This Row],[Unit Price Filled]])-(Table63[[#This Row],[Unit sold Filled]]*Table63[[#This Row],[Unit Cost]])</f>
        <v>-97598.790000000008</v>
      </c>
      <c r="M321" s="27">
        <f>IF(Table63[[#This Row],[Total Revenue]]=0,0,Table63[[#This Row],[Profit]]/Table63[[#This Row],[Total Revenue]])</f>
        <v>-4.7145484266448721</v>
      </c>
      <c r="N321" s="28" t="str">
        <f>YEAR(Table63[[#This Row],[Order Date]])&amp;"-"&amp;TEXT(Table63[[#This Row],[Order Date]],"mm")</f>
        <v>2023-11</v>
      </c>
      <c r="O321" s="22">
        <f>IF(Table63[[#This Row],[Unit sold Filled]]=0,0,Table63[[#This Row],[Total Revenue]]/Table63[[#This Row],[Unit sold Filled]])</f>
        <v>48.94</v>
      </c>
    </row>
    <row r="322" spans="1:15" ht="15" thickBot="1" x14ac:dyDescent="0.35">
      <c r="A322" s="15" t="s">
        <v>349</v>
      </c>
      <c r="B322" s="17" t="s">
        <v>17</v>
      </c>
      <c r="C322" s="15" t="s">
        <v>31</v>
      </c>
      <c r="D322" t="s">
        <v>13</v>
      </c>
      <c r="E322" s="15" t="s">
        <v>14</v>
      </c>
      <c r="F322" s="15" t="s">
        <v>20</v>
      </c>
      <c r="G322" s="18">
        <v>45247</v>
      </c>
      <c r="H322" s="24">
        <v>426</v>
      </c>
      <c r="I322" s="23">
        <v>481.02</v>
      </c>
      <c r="J322" s="17">
        <v>371.99</v>
      </c>
      <c r="K322">
        <v>204914.52</v>
      </c>
      <c r="L322" s="22">
        <f>(Table63[[#This Row],[Unit sold Filled]]*Table63[[#This Row],[Unit Price Filled]])-(Table63[[#This Row],[Unit sold Filled]]*Table63[[#This Row],[Unit Cost]])</f>
        <v>46446.78</v>
      </c>
      <c r="M322" s="27">
        <f>IF(Table63[[#This Row],[Total Revenue]]=0,0,Table63[[#This Row],[Profit]]/Table63[[#This Row],[Total Revenue]])</f>
        <v>0.22666417196790156</v>
      </c>
      <c r="N322" s="28" t="str">
        <f>YEAR(Table63[[#This Row],[Order Date]])&amp;"-"&amp;TEXT(Table63[[#This Row],[Order Date]],"mm")</f>
        <v>2023-11</v>
      </c>
      <c r="O322" s="22">
        <f>IF(Table63[[#This Row],[Unit sold Filled]]=0,0,Table63[[#This Row],[Total Revenue]]/Table63[[#This Row],[Unit sold Filled]])</f>
        <v>481.02</v>
      </c>
    </row>
    <row r="323" spans="1:15" ht="15" thickBot="1" x14ac:dyDescent="0.35">
      <c r="A323" s="1" t="s">
        <v>350</v>
      </c>
      <c r="B323" s="3" t="s">
        <v>22</v>
      </c>
      <c r="C323" s="1" t="s">
        <v>26</v>
      </c>
      <c r="D323" t="s">
        <v>27</v>
      </c>
      <c r="E323" s="1" t="s">
        <v>24</v>
      </c>
      <c r="F323" s="1" t="s">
        <v>28</v>
      </c>
      <c r="G323" s="2">
        <v>45248</v>
      </c>
      <c r="H323" s="24">
        <v>86</v>
      </c>
      <c r="I323" s="23">
        <v>319.31</v>
      </c>
      <c r="J323" s="3">
        <v>313.47000000000003</v>
      </c>
      <c r="K323">
        <v>27460.66</v>
      </c>
      <c r="L323" s="22">
        <f>(Table63[[#This Row],[Unit sold Filled]]*Table63[[#This Row],[Unit Price Filled]])-(Table63[[#This Row],[Unit sold Filled]]*Table63[[#This Row],[Unit Cost]])</f>
        <v>502.23999999999796</v>
      </c>
      <c r="M323" s="27">
        <f>IF(Table63[[#This Row],[Total Revenue]]=0,0,Table63[[#This Row],[Profit]]/Table63[[#This Row],[Total Revenue]])</f>
        <v>1.828943659766364E-2</v>
      </c>
      <c r="N323" s="28" t="str">
        <f>YEAR(Table63[[#This Row],[Order Date]])&amp;"-"&amp;TEXT(Table63[[#This Row],[Order Date]],"mm")</f>
        <v>2023-11</v>
      </c>
      <c r="O323" s="22">
        <f>IF(Table63[[#This Row],[Unit sold Filled]]=0,0,Table63[[#This Row],[Total Revenue]]/Table63[[#This Row],[Unit sold Filled]])</f>
        <v>319.31</v>
      </c>
    </row>
    <row r="324" spans="1:15" ht="15" thickBot="1" x14ac:dyDescent="0.35">
      <c r="A324" s="15" t="s">
        <v>351</v>
      </c>
      <c r="B324" s="17" t="s">
        <v>17</v>
      </c>
      <c r="C324" s="15" t="s">
        <v>12</v>
      </c>
      <c r="D324" t="s">
        <v>19</v>
      </c>
      <c r="E324" s="15" t="s">
        <v>24</v>
      </c>
      <c r="F324" s="15" t="s">
        <v>15</v>
      </c>
      <c r="G324" s="18">
        <v>45249</v>
      </c>
      <c r="H324" s="24">
        <v>125</v>
      </c>
      <c r="I324" s="23">
        <v>378.64</v>
      </c>
      <c r="J324" s="17">
        <v>24.34</v>
      </c>
      <c r="K324">
        <v>47330</v>
      </c>
      <c r="L324" s="22">
        <f>(Table63[[#This Row],[Unit sold Filled]]*Table63[[#This Row],[Unit Price Filled]])-(Table63[[#This Row],[Unit sold Filled]]*Table63[[#This Row],[Unit Cost]])</f>
        <v>44287.5</v>
      </c>
      <c r="M324" s="27">
        <f>IF(Table63[[#This Row],[Total Revenue]]=0,0,Table63[[#This Row],[Profit]]/Table63[[#This Row],[Total Revenue]])</f>
        <v>0.93571730403549547</v>
      </c>
      <c r="N324" s="28" t="str">
        <f>YEAR(Table63[[#This Row],[Order Date]])&amp;"-"&amp;TEXT(Table63[[#This Row],[Order Date]],"mm")</f>
        <v>2023-11</v>
      </c>
      <c r="O324" s="22">
        <f>IF(Table63[[#This Row],[Unit sold Filled]]=0,0,Table63[[#This Row],[Total Revenue]]/Table63[[#This Row],[Unit sold Filled]])</f>
        <v>378.64</v>
      </c>
    </row>
    <row r="325" spans="1:15" ht="15" thickBot="1" x14ac:dyDescent="0.35">
      <c r="A325" s="1" t="s">
        <v>352</v>
      </c>
      <c r="B325" s="3" t="s">
        <v>48</v>
      </c>
      <c r="C325" s="1" t="s">
        <v>18</v>
      </c>
      <c r="D325" t="s">
        <v>389</v>
      </c>
      <c r="E325" s="1" t="s">
        <v>14</v>
      </c>
      <c r="F325" s="1" t="s">
        <v>15</v>
      </c>
      <c r="G325" s="2">
        <v>45250</v>
      </c>
      <c r="H325" s="24">
        <v>163</v>
      </c>
      <c r="I325" s="23">
        <v>89.39</v>
      </c>
      <c r="J325" s="3">
        <v>341.39</v>
      </c>
      <c r="K325">
        <v>14570.57</v>
      </c>
      <c r="L325" s="22">
        <f>(Table63[[#This Row],[Unit sold Filled]]*Table63[[#This Row],[Unit Price Filled]])-(Table63[[#This Row],[Unit sold Filled]]*Table63[[#This Row],[Unit Cost]])</f>
        <v>-41076</v>
      </c>
      <c r="M325" s="27">
        <f>IF(Table63[[#This Row],[Total Revenue]]=0,0,Table63[[#This Row],[Profit]]/Table63[[#This Row],[Total Revenue]])</f>
        <v>-2.8191072826938135</v>
      </c>
      <c r="N325" s="28" t="str">
        <f>YEAR(Table63[[#This Row],[Order Date]])&amp;"-"&amp;TEXT(Table63[[#This Row],[Order Date]],"mm")</f>
        <v>2023-11</v>
      </c>
      <c r="O325" s="22">
        <f>IF(Table63[[#This Row],[Unit sold Filled]]=0,0,Table63[[#This Row],[Total Revenue]]/Table63[[#This Row],[Unit sold Filled]])</f>
        <v>89.39</v>
      </c>
    </row>
    <row r="326" spans="1:15" ht="15" thickBot="1" x14ac:dyDescent="0.35">
      <c r="A326" s="15" t="s">
        <v>353</v>
      </c>
      <c r="B326" s="17" t="s">
        <v>48</v>
      </c>
      <c r="C326" s="15" t="s">
        <v>26</v>
      </c>
      <c r="D326" t="s">
        <v>13</v>
      </c>
      <c r="E326" s="15" t="s">
        <v>24</v>
      </c>
      <c r="F326" s="15" t="s">
        <v>20</v>
      </c>
      <c r="G326" s="18">
        <v>45251</v>
      </c>
      <c r="H326" s="24">
        <v>415</v>
      </c>
      <c r="I326" s="23">
        <v>207.69</v>
      </c>
      <c r="J326" s="17">
        <v>91.77</v>
      </c>
      <c r="K326">
        <v>86191.35</v>
      </c>
      <c r="L326" s="22">
        <f>(Table63[[#This Row],[Unit sold Filled]]*Table63[[#This Row],[Unit Price Filled]])-(Table63[[#This Row],[Unit sold Filled]]*Table63[[#This Row],[Unit Cost]])</f>
        <v>48106.80000000001</v>
      </c>
      <c r="M326" s="27">
        <f>IF(Table63[[#This Row],[Total Revenue]]=0,0,Table63[[#This Row],[Profit]]/Table63[[#This Row],[Total Revenue]])</f>
        <v>0.55813953488372103</v>
      </c>
      <c r="N326" s="28" t="str">
        <f>YEAR(Table63[[#This Row],[Order Date]])&amp;"-"&amp;TEXT(Table63[[#This Row],[Order Date]],"mm")</f>
        <v>2023-11</v>
      </c>
      <c r="O326" s="22">
        <f>IF(Table63[[#This Row],[Unit sold Filled]]=0,0,Table63[[#This Row],[Total Revenue]]/Table63[[#This Row],[Unit sold Filled]])</f>
        <v>207.69000000000003</v>
      </c>
    </row>
    <row r="327" spans="1:15" ht="15" thickBot="1" x14ac:dyDescent="0.35">
      <c r="A327" s="1" t="s">
        <v>354</v>
      </c>
      <c r="B327" s="3" t="s">
        <v>48</v>
      </c>
      <c r="C327" s="1" t="s">
        <v>26</v>
      </c>
      <c r="D327" t="s">
        <v>27</v>
      </c>
      <c r="E327" s="1" t="s">
        <v>24</v>
      </c>
      <c r="F327" s="1" t="s">
        <v>28</v>
      </c>
      <c r="G327" s="2">
        <v>45252</v>
      </c>
      <c r="H327" s="24">
        <v>112</v>
      </c>
      <c r="I327" s="23">
        <v>214.23</v>
      </c>
      <c r="J327" s="3">
        <v>152.01</v>
      </c>
      <c r="K327">
        <v>23993.759999999998</v>
      </c>
      <c r="L327" s="22">
        <f>(Table63[[#This Row],[Unit sold Filled]]*Table63[[#This Row],[Unit Price Filled]])-(Table63[[#This Row],[Unit sold Filled]]*Table63[[#This Row],[Unit Cost]])</f>
        <v>6968.6399999999994</v>
      </c>
      <c r="M327" s="27">
        <f>IF(Table63[[#This Row],[Total Revenue]]=0,0,Table63[[#This Row],[Profit]]/Table63[[#This Row],[Total Revenue]])</f>
        <v>0.29043551323344069</v>
      </c>
      <c r="N327" s="28" t="str">
        <f>YEAR(Table63[[#This Row],[Order Date]])&amp;"-"&amp;TEXT(Table63[[#This Row],[Order Date]],"mm")</f>
        <v>2023-11</v>
      </c>
      <c r="O327" s="22">
        <f>IF(Table63[[#This Row],[Unit sold Filled]]=0,0,Table63[[#This Row],[Total Revenue]]/Table63[[#This Row],[Unit sold Filled]])</f>
        <v>214.23</v>
      </c>
    </row>
    <row r="328" spans="1:15" ht="15" thickBot="1" x14ac:dyDescent="0.35">
      <c r="A328" s="15" t="s">
        <v>355</v>
      </c>
      <c r="B328" s="17" t="s">
        <v>11</v>
      </c>
      <c r="C328" s="15" t="s">
        <v>12</v>
      </c>
      <c r="D328" t="s">
        <v>19</v>
      </c>
      <c r="E328" s="15" t="s">
        <v>24</v>
      </c>
      <c r="F328" s="15" t="s">
        <v>20</v>
      </c>
      <c r="G328" s="18">
        <v>45253</v>
      </c>
      <c r="H328" s="24">
        <v>203</v>
      </c>
      <c r="I328" s="23">
        <v>411.79</v>
      </c>
      <c r="J328" s="17">
        <v>185.77</v>
      </c>
      <c r="K328">
        <v>83593.37000000001</v>
      </c>
      <c r="L328" s="22">
        <f>(Table63[[#This Row],[Unit sold Filled]]*Table63[[#This Row],[Unit Price Filled]])-(Table63[[#This Row],[Unit sold Filled]]*Table63[[#This Row],[Unit Cost]])</f>
        <v>45882.060000000005</v>
      </c>
      <c r="M328" s="27">
        <f>IF(Table63[[#This Row],[Total Revenue]]=0,0,Table63[[#This Row],[Profit]]/Table63[[#This Row],[Total Revenue]])</f>
        <v>0.54887199786298846</v>
      </c>
      <c r="N328" s="28" t="str">
        <f>YEAR(Table63[[#This Row],[Order Date]])&amp;"-"&amp;TEXT(Table63[[#This Row],[Order Date]],"mm")</f>
        <v>2023-11</v>
      </c>
      <c r="O328" s="22">
        <f>IF(Table63[[#This Row],[Unit sold Filled]]=0,0,Table63[[#This Row],[Total Revenue]]/Table63[[#This Row],[Unit sold Filled]])</f>
        <v>411.79</v>
      </c>
    </row>
    <row r="329" spans="1:15" ht="15" thickBot="1" x14ac:dyDescent="0.35">
      <c r="A329" s="1" t="s">
        <v>356</v>
      </c>
      <c r="B329" s="3" t="s">
        <v>11</v>
      </c>
      <c r="C329" s="1" t="s">
        <v>18</v>
      </c>
      <c r="D329" t="s">
        <v>42</v>
      </c>
      <c r="E329" s="1" t="s">
        <v>24</v>
      </c>
      <c r="F329" s="1" t="s">
        <v>28</v>
      </c>
      <c r="G329" s="2">
        <v>45254</v>
      </c>
      <c r="H329" s="24">
        <v>255.90294117647059</v>
      </c>
      <c r="I329" s="23">
        <v>5.61</v>
      </c>
      <c r="J329" s="3">
        <v>193.4</v>
      </c>
      <c r="K329">
        <v>1435.6155000000001</v>
      </c>
      <c r="L329" s="22">
        <f>(Table63[[#This Row],[Unit sold Filled]]*Table63[[#This Row],[Unit Price Filled]])-(Table63[[#This Row],[Unit sold Filled]]*Table63[[#This Row],[Unit Cost]])</f>
        <v>-48056.013323529412</v>
      </c>
      <c r="M329" s="27">
        <f>IF(Table63[[#This Row],[Total Revenue]]=0,0,Table63[[#This Row],[Profit]]/Table63[[#This Row],[Total Revenue]])</f>
        <v>-33.474153297682705</v>
      </c>
      <c r="N329" s="28" t="str">
        <f>YEAR(Table63[[#This Row],[Order Date]])&amp;"-"&amp;TEXT(Table63[[#This Row],[Order Date]],"mm")</f>
        <v>2023-11</v>
      </c>
      <c r="O329" s="22">
        <f>IF(Table63[[#This Row],[Unit sold Filled]]=0,0,Table63[[#This Row],[Total Revenue]]/Table63[[#This Row],[Unit sold Filled]])</f>
        <v>5.61</v>
      </c>
    </row>
    <row r="330" spans="1:15" ht="15" thickBot="1" x14ac:dyDescent="0.35">
      <c r="A330" s="15" t="s">
        <v>357</v>
      </c>
      <c r="B330" s="17" t="s">
        <v>17</v>
      </c>
      <c r="C330" s="15" t="s">
        <v>50</v>
      </c>
      <c r="D330" t="s">
        <v>13</v>
      </c>
      <c r="E330" s="15" t="s">
        <v>24</v>
      </c>
      <c r="F330" s="15" t="s">
        <v>28</v>
      </c>
      <c r="G330" s="18">
        <v>45255</v>
      </c>
      <c r="H330" s="24">
        <v>368</v>
      </c>
      <c r="I330" s="23">
        <v>153.91999999999999</v>
      </c>
      <c r="J330" s="17">
        <v>175.2</v>
      </c>
      <c r="K330">
        <v>56642.559999999998</v>
      </c>
      <c r="L330" s="22">
        <f>(Table63[[#This Row],[Unit sold Filled]]*Table63[[#This Row],[Unit Price Filled]])-(Table63[[#This Row],[Unit sold Filled]]*Table63[[#This Row],[Unit Cost]])</f>
        <v>-7831.0400000000009</v>
      </c>
      <c r="M330" s="27">
        <f>IF(Table63[[#This Row],[Total Revenue]]=0,0,Table63[[#This Row],[Profit]]/Table63[[#This Row],[Total Revenue]])</f>
        <v>-0.13825363825363826</v>
      </c>
      <c r="N330" s="28" t="str">
        <f>YEAR(Table63[[#This Row],[Order Date]])&amp;"-"&amp;TEXT(Table63[[#This Row],[Order Date]],"mm")</f>
        <v>2023-11</v>
      </c>
      <c r="O330" s="22">
        <f>IF(Table63[[#This Row],[Unit sold Filled]]=0,0,Table63[[#This Row],[Total Revenue]]/Table63[[#This Row],[Unit sold Filled]])</f>
        <v>153.91999999999999</v>
      </c>
    </row>
    <row r="331" spans="1:15" ht="15" thickBot="1" x14ac:dyDescent="0.35">
      <c r="A331" s="1" t="s">
        <v>358</v>
      </c>
      <c r="B331" s="3" t="s">
        <v>17</v>
      </c>
      <c r="C331" s="1" t="s">
        <v>50</v>
      </c>
      <c r="D331" t="s">
        <v>42</v>
      </c>
      <c r="E331" s="1" t="s">
        <v>24</v>
      </c>
      <c r="F331" s="1" t="s">
        <v>28</v>
      </c>
      <c r="G331" s="2">
        <v>45256</v>
      </c>
      <c r="H331" s="24">
        <v>99</v>
      </c>
      <c r="I331" s="23">
        <v>490.71</v>
      </c>
      <c r="J331" s="3">
        <v>375.07</v>
      </c>
      <c r="K331">
        <v>48580.29</v>
      </c>
      <c r="L331" s="22">
        <f>(Table63[[#This Row],[Unit sold Filled]]*Table63[[#This Row],[Unit Price Filled]])-(Table63[[#This Row],[Unit sold Filled]]*Table63[[#This Row],[Unit Cost]])</f>
        <v>11448.36</v>
      </c>
      <c r="M331" s="27">
        <f>IF(Table63[[#This Row],[Total Revenue]]=0,0,Table63[[#This Row],[Profit]]/Table63[[#This Row],[Total Revenue]])</f>
        <v>0.23565853559128611</v>
      </c>
      <c r="N331" s="28" t="str">
        <f>YEAR(Table63[[#This Row],[Order Date]])&amp;"-"&amp;TEXT(Table63[[#This Row],[Order Date]],"mm")</f>
        <v>2023-11</v>
      </c>
      <c r="O331" s="22">
        <f>IF(Table63[[#This Row],[Unit sold Filled]]=0,0,Table63[[#This Row],[Total Revenue]]/Table63[[#This Row],[Unit sold Filled]])</f>
        <v>490.71000000000004</v>
      </c>
    </row>
    <row r="332" spans="1:15" ht="15" thickBot="1" x14ac:dyDescent="0.35">
      <c r="A332" s="15" t="s">
        <v>359</v>
      </c>
      <c r="B332" s="17" t="s">
        <v>22</v>
      </c>
      <c r="C332" s="15" t="s">
        <v>26</v>
      </c>
      <c r="D332" t="s">
        <v>42</v>
      </c>
      <c r="E332" s="15" t="s">
        <v>14</v>
      </c>
      <c r="F332" s="15" t="s">
        <v>15</v>
      </c>
      <c r="G332" s="18">
        <v>45257</v>
      </c>
      <c r="H332" s="24">
        <v>183</v>
      </c>
      <c r="I332" s="23">
        <v>240.07</v>
      </c>
      <c r="J332" s="17">
        <v>283</v>
      </c>
      <c r="K332">
        <v>43932.81</v>
      </c>
      <c r="L332" s="22">
        <f>(Table63[[#This Row],[Unit sold Filled]]*Table63[[#This Row],[Unit Price Filled]])-(Table63[[#This Row],[Unit sold Filled]]*Table63[[#This Row],[Unit Cost]])</f>
        <v>-7856.1900000000023</v>
      </c>
      <c r="M332" s="27">
        <f>IF(Table63[[#This Row],[Total Revenue]]=0,0,Table63[[#This Row],[Profit]]/Table63[[#This Row],[Total Revenue]])</f>
        <v>-0.17882284333736001</v>
      </c>
      <c r="N332" s="28" t="str">
        <f>YEAR(Table63[[#This Row],[Order Date]])&amp;"-"&amp;TEXT(Table63[[#This Row],[Order Date]],"mm")</f>
        <v>2023-11</v>
      </c>
      <c r="O332" s="22">
        <f>IF(Table63[[#This Row],[Unit sold Filled]]=0,0,Table63[[#This Row],[Total Revenue]]/Table63[[#This Row],[Unit sold Filled]])</f>
        <v>240.07</v>
      </c>
    </row>
    <row r="333" spans="1:15" ht="15" thickBot="1" x14ac:dyDescent="0.35">
      <c r="A333" s="1" t="s">
        <v>360</v>
      </c>
      <c r="B333" s="3" t="s">
        <v>17</v>
      </c>
      <c r="C333" s="1" t="s">
        <v>18</v>
      </c>
      <c r="D333" t="s">
        <v>42</v>
      </c>
      <c r="E333" s="1" t="s">
        <v>24</v>
      </c>
      <c r="F333" s="1" t="s">
        <v>20</v>
      </c>
      <c r="G333" s="2">
        <v>45258</v>
      </c>
      <c r="H333" s="24">
        <v>131</v>
      </c>
      <c r="I333" s="23">
        <v>194.35</v>
      </c>
      <c r="J333" s="3">
        <v>253.21</v>
      </c>
      <c r="K333">
        <v>25459.85</v>
      </c>
      <c r="L333" s="22">
        <f>(Table63[[#This Row],[Unit sold Filled]]*Table63[[#This Row],[Unit Price Filled]])-(Table63[[#This Row],[Unit sold Filled]]*Table63[[#This Row],[Unit Cost]])</f>
        <v>-7710.6600000000035</v>
      </c>
      <c r="M333" s="27">
        <f>IF(Table63[[#This Row],[Total Revenue]]=0,0,Table63[[#This Row],[Profit]]/Table63[[#This Row],[Total Revenue]])</f>
        <v>-0.30285567275533848</v>
      </c>
      <c r="N333" s="28" t="str">
        <f>YEAR(Table63[[#This Row],[Order Date]])&amp;"-"&amp;TEXT(Table63[[#This Row],[Order Date]],"mm")</f>
        <v>2023-11</v>
      </c>
      <c r="O333" s="22">
        <f>IF(Table63[[#This Row],[Unit sold Filled]]=0,0,Table63[[#This Row],[Total Revenue]]/Table63[[#This Row],[Unit sold Filled]])</f>
        <v>194.35</v>
      </c>
    </row>
    <row r="334" spans="1:15" ht="15" thickBot="1" x14ac:dyDescent="0.35">
      <c r="A334" s="15" t="s">
        <v>361</v>
      </c>
      <c r="B334" s="17" t="s">
        <v>17</v>
      </c>
      <c r="C334" s="15" t="s">
        <v>26</v>
      </c>
      <c r="D334" t="s">
        <v>23</v>
      </c>
      <c r="E334" s="15" t="s">
        <v>24</v>
      </c>
      <c r="F334" s="15" t="s">
        <v>20</v>
      </c>
      <c r="G334" s="18">
        <v>45259</v>
      </c>
      <c r="H334" s="24">
        <v>152</v>
      </c>
      <c r="I334" s="23">
        <v>64.319999999999993</v>
      </c>
      <c r="J334" s="17">
        <v>21.84</v>
      </c>
      <c r="K334">
        <v>9776.64</v>
      </c>
      <c r="L334" s="22">
        <f>(Table63[[#This Row],[Unit sold Filled]]*Table63[[#This Row],[Unit Price Filled]])-(Table63[[#This Row],[Unit sold Filled]]*Table63[[#This Row],[Unit Cost]])</f>
        <v>6456.9599999999991</v>
      </c>
      <c r="M334" s="27">
        <f>IF(Table63[[#This Row],[Total Revenue]]=0,0,Table63[[#This Row],[Profit]]/Table63[[#This Row],[Total Revenue]])</f>
        <v>0.66044776119402981</v>
      </c>
      <c r="N334" s="28" t="str">
        <f>YEAR(Table63[[#This Row],[Order Date]])&amp;"-"&amp;TEXT(Table63[[#This Row],[Order Date]],"mm")</f>
        <v>2023-11</v>
      </c>
      <c r="O334" s="22">
        <f>IF(Table63[[#This Row],[Unit sold Filled]]=0,0,Table63[[#This Row],[Total Revenue]]/Table63[[#This Row],[Unit sold Filled]])</f>
        <v>64.319999999999993</v>
      </c>
    </row>
    <row r="335" spans="1:15" ht="15" thickBot="1" x14ac:dyDescent="0.35">
      <c r="A335" s="1" t="s">
        <v>362</v>
      </c>
      <c r="B335" s="3" t="s">
        <v>11</v>
      </c>
      <c r="C335" s="1" t="s">
        <v>31</v>
      </c>
      <c r="D335" t="s">
        <v>23</v>
      </c>
      <c r="E335" s="1" t="s">
        <v>24</v>
      </c>
      <c r="F335" s="1" t="s">
        <v>28</v>
      </c>
      <c r="G335" s="2">
        <v>45260</v>
      </c>
      <c r="H335" s="24">
        <v>491</v>
      </c>
      <c r="I335" s="23">
        <v>487.21</v>
      </c>
      <c r="J335" s="3">
        <v>361.76</v>
      </c>
      <c r="K335">
        <v>239220.11</v>
      </c>
      <c r="L335" s="22">
        <f>(Table63[[#This Row],[Unit sold Filled]]*Table63[[#This Row],[Unit Price Filled]])-(Table63[[#This Row],[Unit sold Filled]]*Table63[[#This Row],[Unit Cost]])</f>
        <v>61595.949999999983</v>
      </c>
      <c r="M335" s="27">
        <f>IF(Table63[[#This Row],[Total Revenue]]=0,0,Table63[[#This Row],[Profit]]/Table63[[#This Row],[Total Revenue]])</f>
        <v>0.25748650479259449</v>
      </c>
      <c r="N335" s="28" t="str">
        <f>YEAR(Table63[[#This Row],[Order Date]])&amp;"-"&amp;TEXT(Table63[[#This Row],[Order Date]],"mm")</f>
        <v>2023-11</v>
      </c>
      <c r="O335" s="22">
        <f>IF(Table63[[#This Row],[Unit sold Filled]]=0,0,Table63[[#This Row],[Total Revenue]]/Table63[[#This Row],[Unit sold Filled]])</f>
        <v>487.21</v>
      </c>
    </row>
    <row r="336" spans="1:15" ht="15" thickBot="1" x14ac:dyDescent="0.35">
      <c r="A336" s="15" t="s">
        <v>363</v>
      </c>
      <c r="B336" s="17" t="s">
        <v>48</v>
      </c>
      <c r="C336" s="15" t="s">
        <v>26</v>
      </c>
      <c r="D336" t="s">
        <v>42</v>
      </c>
      <c r="E336" s="15" t="s">
        <v>14</v>
      </c>
      <c r="F336" s="15" t="s">
        <v>15</v>
      </c>
      <c r="G336" s="18">
        <v>45261</v>
      </c>
      <c r="H336" s="24">
        <v>115</v>
      </c>
      <c r="I336" s="23">
        <v>14.91</v>
      </c>
      <c r="J336" s="17">
        <v>363.94</v>
      </c>
      <c r="K336">
        <v>1714.65</v>
      </c>
      <c r="L336" s="22">
        <f>(Table63[[#This Row],[Unit sold Filled]]*Table63[[#This Row],[Unit Price Filled]])-(Table63[[#This Row],[Unit sold Filled]]*Table63[[#This Row],[Unit Cost]])</f>
        <v>-40138.449999999997</v>
      </c>
      <c r="M336" s="27">
        <f>IF(Table63[[#This Row],[Total Revenue]]=0,0,Table63[[#This Row],[Profit]]/Table63[[#This Row],[Total Revenue]])</f>
        <v>-23.409121395036884</v>
      </c>
      <c r="N336" s="28" t="str">
        <f>YEAR(Table63[[#This Row],[Order Date]])&amp;"-"&amp;TEXT(Table63[[#This Row],[Order Date]],"mm")</f>
        <v>2023-12</v>
      </c>
      <c r="O336" s="22">
        <f>IF(Table63[[#This Row],[Unit sold Filled]]=0,0,Table63[[#This Row],[Total Revenue]]/Table63[[#This Row],[Unit sold Filled]])</f>
        <v>14.91</v>
      </c>
    </row>
    <row r="337" spans="1:15" ht="15" thickBot="1" x14ac:dyDescent="0.35">
      <c r="A337" s="1" t="s">
        <v>364</v>
      </c>
      <c r="B337" s="3" t="s">
        <v>17</v>
      </c>
      <c r="C337" s="1" t="s">
        <v>26</v>
      </c>
      <c r="D337" t="s">
        <v>13</v>
      </c>
      <c r="E337" s="1" t="s">
        <v>24</v>
      </c>
      <c r="F337" s="1" t="s">
        <v>15</v>
      </c>
      <c r="G337" s="2">
        <v>45262</v>
      </c>
      <c r="H337" s="24">
        <v>384</v>
      </c>
      <c r="I337" s="23">
        <v>369.9</v>
      </c>
      <c r="J337" s="3">
        <v>312.52</v>
      </c>
      <c r="K337">
        <v>142041.59999999998</v>
      </c>
      <c r="L337" s="22">
        <f>(Table63[[#This Row],[Unit sold Filled]]*Table63[[#This Row],[Unit Price Filled]])-(Table63[[#This Row],[Unit sold Filled]]*Table63[[#This Row],[Unit Cost]])</f>
        <v>22033.919999999984</v>
      </c>
      <c r="M337" s="27">
        <f>IF(Table63[[#This Row],[Total Revenue]]=0,0,Table63[[#This Row],[Profit]]/Table63[[#This Row],[Total Revenue]])</f>
        <v>0.15512300621789665</v>
      </c>
      <c r="N337" s="28" t="str">
        <f>YEAR(Table63[[#This Row],[Order Date]])&amp;"-"&amp;TEXT(Table63[[#This Row],[Order Date]],"mm")</f>
        <v>2023-12</v>
      </c>
      <c r="O337" s="22">
        <f>IF(Table63[[#This Row],[Unit sold Filled]]=0,0,Table63[[#This Row],[Total Revenue]]/Table63[[#This Row],[Unit sold Filled]])</f>
        <v>369.89999999999992</v>
      </c>
    </row>
    <row r="338" spans="1:15" ht="15" thickBot="1" x14ac:dyDescent="0.35">
      <c r="A338" s="15" t="s">
        <v>365</v>
      </c>
      <c r="B338" s="17" t="s">
        <v>22</v>
      </c>
      <c r="C338" s="15" t="s">
        <v>50</v>
      </c>
      <c r="D338" t="s">
        <v>19</v>
      </c>
      <c r="E338" s="15" t="s">
        <v>14</v>
      </c>
      <c r="F338" s="15" t="s">
        <v>20</v>
      </c>
      <c r="G338" s="18">
        <v>45263</v>
      </c>
      <c r="H338" s="24">
        <v>437</v>
      </c>
      <c r="I338" s="23">
        <v>385.46</v>
      </c>
      <c r="J338" s="17">
        <v>4.8</v>
      </c>
      <c r="K338">
        <v>168446.02</v>
      </c>
      <c r="L338" s="22">
        <f>(Table63[[#This Row],[Unit sold Filled]]*Table63[[#This Row],[Unit Price Filled]])-(Table63[[#This Row],[Unit sold Filled]]*Table63[[#This Row],[Unit Cost]])</f>
        <v>166348.41999999998</v>
      </c>
      <c r="M338" s="27">
        <f>IF(Table63[[#This Row],[Total Revenue]]=0,0,Table63[[#This Row],[Profit]]/Table63[[#This Row],[Total Revenue]])</f>
        <v>0.98754734602812222</v>
      </c>
      <c r="N338" s="28" t="str">
        <f>YEAR(Table63[[#This Row],[Order Date]])&amp;"-"&amp;TEXT(Table63[[#This Row],[Order Date]],"mm")</f>
        <v>2023-12</v>
      </c>
      <c r="O338" s="22">
        <f>IF(Table63[[#This Row],[Unit sold Filled]]=0,0,Table63[[#This Row],[Total Revenue]]/Table63[[#This Row],[Unit sold Filled]])</f>
        <v>385.46</v>
      </c>
    </row>
    <row r="339" spans="1:15" ht="15" thickBot="1" x14ac:dyDescent="0.35">
      <c r="A339" s="1" t="s">
        <v>366</v>
      </c>
      <c r="B339" s="3" t="s">
        <v>11</v>
      </c>
      <c r="C339" s="1" t="s">
        <v>50</v>
      </c>
      <c r="D339" t="s">
        <v>19</v>
      </c>
      <c r="E339" s="1" t="s">
        <v>24</v>
      </c>
      <c r="F339" s="1" t="s">
        <v>15</v>
      </c>
      <c r="G339" s="2">
        <v>45264</v>
      </c>
      <c r="H339" s="24">
        <v>314</v>
      </c>
      <c r="I339" s="23">
        <v>125.61</v>
      </c>
      <c r="J339" s="3">
        <v>24.8</v>
      </c>
      <c r="K339">
        <v>39441.54</v>
      </c>
      <c r="L339" s="22">
        <f>(Table63[[#This Row],[Unit sold Filled]]*Table63[[#This Row],[Unit Price Filled]])-(Table63[[#This Row],[Unit sold Filled]]*Table63[[#This Row],[Unit Cost]])</f>
        <v>31654.34</v>
      </c>
      <c r="M339" s="27">
        <f>IF(Table63[[#This Row],[Total Revenue]]=0,0,Table63[[#This Row],[Profit]]/Table63[[#This Row],[Total Revenue]])</f>
        <v>0.80256349016798023</v>
      </c>
      <c r="N339" s="28" t="str">
        <f>YEAR(Table63[[#This Row],[Order Date]])&amp;"-"&amp;TEXT(Table63[[#This Row],[Order Date]],"mm")</f>
        <v>2023-12</v>
      </c>
      <c r="O339" s="22">
        <f>IF(Table63[[#This Row],[Unit sold Filled]]=0,0,Table63[[#This Row],[Total Revenue]]/Table63[[#This Row],[Unit sold Filled]])</f>
        <v>125.61</v>
      </c>
    </row>
    <row r="340" spans="1:15" ht="15" thickBot="1" x14ac:dyDescent="0.35">
      <c r="A340" s="15" t="s">
        <v>367</v>
      </c>
      <c r="B340" s="17" t="s">
        <v>17</v>
      </c>
      <c r="C340" s="15" t="s">
        <v>50</v>
      </c>
      <c r="D340" t="s">
        <v>27</v>
      </c>
      <c r="E340" s="15" t="s">
        <v>14</v>
      </c>
      <c r="F340" s="15" t="s">
        <v>15</v>
      </c>
      <c r="G340" s="18">
        <v>45265</v>
      </c>
      <c r="H340" s="24">
        <v>369</v>
      </c>
      <c r="I340" s="23">
        <v>337.42</v>
      </c>
      <c r="J340" s="17">
        <v>91.64</v>
      </c>
      <c r="K340">
        <v>124507.98000000001</v>
      </c>
      <c r="L340" s="22">
        <f>(Table63[[#This Row],[Unit sold Filled]]*Table63[[#This Row],[Unit Price Filled]])-(Table63[[#This Row],[Unit sold Filled]]*Table63[[#This Row],[Unit Cost]])</f>
        <v>90692.82</v>
      </c>
      <c r="M340" s="27">
        <f>IF(Table63[[#This Row],[Total Revenue]]=0,0,Table63[[#This Row],[Profit]]/Table63[[#This Row],[Total Revenue]])</f>
        <v>0.72840969711338988</v>
      </c>
      <c r="N340" s="28" t="str">
        <f>YEAR(Table63[[#This Row],[Order Date]])&amp;"-"&amp;TEXT(Table63[[#This Row],[Order Date]],"mm")</f>
        <v>2023-12</v>
      </c>
      <c r="O340" s="22">
        <f>IF(Table63[[#This Row],[Unit sold Filled]]=0,0,Table63[[#This Row],[Total Revenue]]/Table63[[#This Row],[Unit sold Filled]])</f>
        <v>337.42</v>
      </c>
    </row>
    <row r="341" spans="1:15" ht="15" thickBot="1" x14ac:dyDescent="0.35">
      <c r="A341" s="1" t="s">
        <v>368</v>
      </c>
      <c r="B341" s="3" t="s">
        <v>17</v>
      </c>
      <c r="C341" s="1" t="s">
        <v>31</v>
      </c>
      <c r="D341" t="s">
        <v>13</v>
      </c>
      <c r="E341" s="1" t="s">
        <v>14</v>
      </c>
      <c r="F341" s="1" t="s">
        <v>28</v>
      </c>
      <c r="G341" s="2">
        <v>45266</v>
      </c>
      <c r="H341" s="24">
        <v>468</v>
      </c>
      <c r="I341" s="23">
        <v>51</v>
      </c>
      <c r="J341" s="3">
        <v>54.28</v>
      </c>
      <c r="K341">
        <v>23868</v>
      </c>
      <c r="L341" s="22">
        <f>(Table63[[#This Row],[Unit sold Filled]]*Table63[[#This Row],[Unit Price Filled]])-(Table63[[#This Row],[Unit sold Filled]]*Table63[[#This Row],[Unit Cost]])</f>
        <v>-1535.0400000000009</v>
      </c>
      <c r="M341" s="27">
        <f>IF(Table63[[#This Row],[Total Revenue]]=0,0,Table63[[#This Row],[Profit]]/Table63[[#This Row],[Total Revenue]])</f>
        <v>-6.4313725490196122E-2</v>
      </c>
      <c r="N341" s="28" t="str">
        <f>YEAR(Table63[[#This Row],[Order Date]])&amp;"-"&amp;TEXT(Table63[[#This Row],[Order Date]],"mm")</f>
        <v>2023-12</v>
      </c>
      <c r="O341" s="22">
        <f>IF(Table63[[#This Row],[Unit sold Filled]]=0,0,Table63[[#This Row],[Total Revenue]]/Table63[[#This Row],[Unit sold Filled]])</f>
        <v>51</v>
      </c>
    </row>
    <row r="342" spans="1:15" ht="15" thickBot="1" x14ac:dyDescent="0.35">
      <c r="A342" s="15" t="s">
        <v>369</v>
      </c>
      <c r="B342" s="17" t="s">
        <v>11</v>
      </c>
      <c r="C342" s="15" t="s">
        <v>50</v>
      </c>
      <c r="D342" t="s">
        <v>23</v>
      </c>
      <c r="E342" s="15" t="s">
        <v>24</v>
      </c>
      <c r="F342" s="15" t="s">
        <v>15</v>
      </c>
      <c r="G342" s="18">
        <v>45267</v>
      </c>
      <c r="H342" s="24">
        <v>326</v>
      </c>
      <c r="I342" s="23">
        <v>132.24</v>
      </c>
      <c r="J342" s="17">
        <v>160.74</v>
      </c>
      <c r="K342">
        <v>43110.240000000005</v>
      </c>
      <c r="L342" s="22">
        <f>(Table63[[#This Row],[Unit sold Filled]]*Table63[[#This Row],[Unit Price Filled]])-(Table63[[#This Row],[Unit sold Filled]]*Table63[[#This Row],[Unit Cost]])</f>
        <v>-9291</v>
      </c>
      <c r="M342" s="27">
        <f>IF(Table63[[#This Row],[Total Revenue]]=0,0,Table63[[#This Row],[Profit]]/Table63[[#This Row],[Total Revenue]])</f>
        <v>-0.21551724137931033</v>
      </c>
      <c r="N342" s="28" t="str">
        <f>YEAR(Table63[[#This Row],[Order Date]])&amp;"-"&amp;TEXT(Table63[[#This Row],[Order Date]],"mm")</f>
        <v>2023-12</v>
      </c>
      <c r="O342" s="22">
        <f>IF(Table63[[#This Row],[Unit sold Filled]]=0,0,Table63[[#This Row],[Total Revenue]]/Table63[[#This Row],[Unit sold Filled]])</f>
        <v>132.24</v>
      </c>
    </row>
    <row r="343" spans="1:15" ht="15" thickBot="1" x14ac:dyDescent="0.35">
      <c r="A343" s="1" t="s">
        <v>370</v>
      </c>
      <c r="B343" s="3" t="s">
        <v>17</v>
      </c>
      <c r="C343" s="1" t="s">
        <v>18</v>
      </c>
      <c r="D343" t="s">
        <v>42</v>
      </c>
      <c r="E343" s="1" t="s">
        <v>24</v>
      </c>
      <c r="F343" s="1" t="s">
        <v>28</v>
      </c>
      <c r="G343" s="2">
        <v>45268</v>
      </c>
      <c r="H343" s="24">
        <v>460</v>
      </c>
      <c r="I343" s="23">
        <v>395.01</v>
      </c>
      <c r="J343" s="3">
        <v>369.2</v>
      </c>
      <c r="K343">
        <v>181704.6</v>
      </c>
      <c r="L343" s="22">
        <f>(Table63[[#This Row],[Unit sold Filled]]*Table63[[#This Row],[Unit Price Filled]])-(Table63[[#This Row],[Unit sold Filled]]*Table63[[#This Row],[Unit Cost]])</f>
        <v>11872.600000000006</v>
      </c>
      <c r="M343" s="27">
        <f>IF(Table63[[#This Row],[Total Revenue]]=0,0,Table63[[#This Row],[Profit]]/Table63[[#This Row],[Total Revenue]])</f>
        <v>6.5340117971696948E-2</v>
      </c>
      <c r="N343" s="28" t="str">
        <f>YEAR(Table63[[#This Row],[Order Date]])&amp;"-"&amp;TEXT(Table63[[#This Row],[Order Date]],"mm")</f>
        <v>2023-12</v>
      </c>
      <c r="O343" s="22">
        <f>IF(Table63[[#This Row],[Unit sold Filled]]=0,0,Table63[[#This Row],[Total Revenue]]/Table63[[#This Row],[Unit sold Filled]])</f>
        <v>395.01</v>
      </c>
    </row>
    <row r="344" spans="1:15" ht="15" thickBot="1" x14ac:dyDescent="0.35">
      <c r="A344" s="15" t="s">
        <v>371</v>
      </c>
      <c r="B344" s="17" t="s">
        <v>11</v>
      </c>
      <c r="C344" s="15" t="s">
        <v>12</v>
      </c>
      <c r="D344" t="s">
        <v>27</v>
      </c>
      <c r="E344" s="15" t="s">
        <v>14</v>
      </c>
      <c r="F344" s="15" t="s">
        <v>20</v>
      </c>
      <c r="G344" s="18">
        <v>45269</v>
      </c>
      <c r="H344" s="24">
        <v>132</v>
      </c>
      <c r="I344" s="23">
        <v>433.02</v>
      </c>
      <c r="J344" s="17">
        <v>189.88</v>
      </c>
      <c r="K344">
        <v>57158.64</v>
      </c>
      <c r="L344" s="22">
        <f>(Table63[[#This Row],[Unit sold Filled]]*Table63[[#This Row],[Unit Price Filled]])-(Table63[[#This Row],[Unit sold Filled]]*Table63[[#This Row],[Unit Cost]])</f>
        <v>32094.48</v>
      </c>
      <c r="M344" s="27">
        <f>IF(Table63[[#This Row],[Total Revenue]]=0,0,Table63[[#This Row],[Profit]]/Table63[[#This Row],[Total Revenue]])</f>
        <v>0.56149831416562745</v>
      </c>
      <c r="N344" s="28" t="str">
        <f>YEAR(Table63[[#This Row],[Order Date]])&amp;"-"&amp;TEXT(Table63[[#This Row],[Order Date]],"mm")</f>
        <v>2023-12</v>
      </c>
      <c r="O344" s="22">
        <f>IF(Table63[[#This Row],[Unit sold Filled]]=0,0,Table63[[#This Row],[Total Revenue]]/Table63[[#This Row],[Unit sold Filled]])</f>
        <v>433.02</v>
      </c>
    </row>
    <row r="345" spans="1:15" ht="15" thickBot="1" x14ac:dyDescent="0.35">
      <c r="A345" s="1" t="s">
        <v>372</v>
      </c>
      <c r="B345" s="3" t="s">
        <v>48</v>
      </c>
      <c r="C345" s="1" t="s">
        <v>18</v>
      </c>
      <c r="D345" t="s">
        <v>19</v>
      </c>
      <c r="E345" s="1" t="s">
        <v>24</v>
      </c>
      <c r="F345" s="1" t="s">
        <v>15</v>
      </c>
      <c r="G345" s="2">
        <v>45270</v>
      </c>
      <c r="H345" s="24">
        <v>399</v>
      </c>
      <c r="I345" s="23">
        <v>306.2</v>
      </c>
      <c r="J345" s="3">
        <v>7.33</v>
      </c>
      <c r="K345">
        <v>122173.79999999999</v>
      </c>
      <c r="L345" s="22">
        <f>(Table63[[#This Row],[Unit sold Filled]]*Table63[[#This Row],[Unit Price Filled]])-(Table63[[#This Row],[Unit sold Filled]]*Table63[[#This Row],[Unit Cost]])</f>
        <v>119249.12999999999</v>
      </c>
      <c r="M345" s="27">
        <f>IF(Table63[[#This Row],[Total Revenue]]=0,0,Table63[[#This Row],[Profit]]/Table63[[#This Row],[Total Revenue]])</f>
        <v>0.97606139777922929</v>
      </c>
      <c r="N345" s="28" t="str">
        <f>YEAR(Table63[[#This Row],[Order Date]])&amp;"-"&amp;TEXT(Table63[[#This Row],[Order Date]],"mm")</f>
        <v>2023-12</v>
      </c>
      <c r="O345" s="22">
        <f>IF(Table63[[#This Row],[Unit sold Filled]]=0,0,Table63[[#This Row],[Total Revenue]]/Table63[[#This Row],[Unit sold Filled]])</f>
        <v>306.2</v>
      </c>
    </row>
    <row r="346" spans="1:15" ht="15" thickBot="1" x14ac:dyDescent="0.35">
      <c r="A346" s="15" t="s">
        <v>373</v>
      </c>
      <c r="B346" s="17" t="s">
        <v>11</v>
      </c>
      <c r="C346" s="15" t="s">
        <v>18</v>
      </c>
      <c r="D346" t="s">
        <v>23</v>
      </c>
      <c r="E346" s="15" t="s">
        <v>14</v>
      </c>
      <c r="F346" s="15" t="s">
        <v>20</v>
      </c>
      <c r="G346" s="18">
        <v>45271</v>
      </c>
      <c r="H346" s="24">
        <v>18</v>
      </c>
      <c r="I346" s="23">
        <v>255.89</v>
      </c>
      <c r="J346" s="17">
        <v>114.53</v>
      </c>
      <c r="K346">
        <v>4606.0199999999995</v>
      </c>
      <c r="L346" s="22">
        <f>(Table63[[#This Row],[Unit sold Filled]]*Table63[[#This Row],[Unit Price Filled]])-(Table63[[#This Row],[Unit sold Filled]]*Table63[[#This Row],[Unit Cost]])</f>
        <v>2544.4799999999996</v>
      </c>
      <c r="M346" s="27">
        <f>IF(Table63[[#This Row],[Total Revenue]]=0,0,Table63[[#This Row],[Profit]]/Table63[[#This Row],[Total Revenue]])</f>
        <v>0.55242487006135443</v>
      </c>
      <c r="N346" s="28" t="str">
        <f>YEAR(Table63[[#This Row],[Order Date]])&amp;"-"&amp;TEXT(Table63[[#This Row],[Order Date]],"mm")</f>
        <v>2023-12</v>
      </c>
      <c r="O346" s="22">
        <f>IF(Table63[[#This Row],[Unit sold Filled]]=0,0,Table63[[#This Row],[Total Revenue]]/Table63[[#This Row],[Unit sold Filled]])</f>
        <v>255.89</v>
      </c>
    </row>
    <row r="347" spans="1:15" ht="15" thickBot="1" x14ac:dyDescent="0.35">
      <c r="A347" s="1" t="s">
        <v>374</v>
      </c>
      <c r="B347" s="3" t="s">
        <v>11</v>
      </c>
      <c r="C347" s="1" t="s">
        <v>50</v>
      </c>
      <c r="D347" t="s">
        <v>23</v>
      </c>
      <c r="E347" s="1" t="s">
        <v>14</v>
      </c>
      <c r="F347" s="1" t="s">
        <v>20</v>
      </c>
      <c r="G347" s="2">
        <v>45272</v>
      </c>
      <c r="H347" s="24">
        <v>271</v>
      </c>
      <c r="I347" s="23">
        <v>83.86</v>
      </c>
      <c r="J347" s="3">
        <v>19.75</v>
      </c>
      <c r="K347">
        <v>22726.06</v>
      </c>
      <c r="L347" s="22">
        <f>(Table63[[#This Row],[Unit sold Filled]]*Table63[[#This Row],[Unit Price Filled]])-(Table63[[#This Row],[Unit sold Filled]]*Table63[[#This Row],[Unit Cost]])</f>
        <v>17373.810000000001</v>
      </c>
      <c r="M347" s="27">
        <f>IF(Table63[[#This Row],[Total Revenue]]=0,0,Table63[[#This Row],[Profit]]/Table63[[#This Row],[Total Revenue]])</f>
        <v>0.76448843310279035</v>
      </c>
      <c r="N347" s="28" t="str">
        <f>YEAR(Table63[[#This Row],[Order Date]])&amp;"-"&amp;TEXT(Table63[[#This Row],[Order Date]],"mm")</f>
        <v>2023-12</v>
      </c>
      <c r="O347" s="22">
        <f>IF(Table63[[#This Row],[Unit sold Filled]]=0,0,Table63[[#This Row],[Total Revenue]]/Table63[[#This Row],[Unit sold Filled]])</f>
        <v>83.86</v>
      </c>
    </row>
    <row r="348" spans="1:15" ht="15" thickBot="1" x14ac:dyDescent="0.35">
      <c r="A348" s="15" t="s">
        <v>375</v>
      </c>
      <c r="B348" s="17" t="s">
        <v>17</v>
      </c>
      <c r="C348" s="15" t="s">
        <v>12</v>
      </c>
      <c r="D348" t="s">
        <v>42</v>
      </c>
      <c r="E348" s="15" t="s">
        <v>14</v>
      </c>
      <c r="F348" s="15" t="s">
        <v>15</v>
      </c>
      <c r="G348" s="18">
        <v>45273</v>
      </c>
      <c r="H348" s="24">
        <v>82</v>
      </c>
      <c r="I348" s="23">
        <v>36.24</v>
      </c>
      <c r="J348" s="17">
        <v>16.440000000000001</v>
      </c>
      <c r="K348">
        <v>2971.6800000000003</v>
      </c>
      <c r="L348" s="22">
        <f>(Table63[[#This Row],[Unit sold Filled]]*Table63[[#This Row],[Unit Price Filled]])-(Table63[[#This Row],[Unit sold Filled]]*Table63[[#This Row],[Unit Cost]])</f>
        <v>1623.6000000000001</v>
      </c>
      <c r="M348" s="27">
        <f>IF(Table63[[#This Row],[Total Revenue]]=0,0,Table63[[#This Row],[Profit]]/Table63[[#This Row],[Total Revenue]])</f>
        <v>0.54635761589403975</v>
      </c>
      <c r="N348" s="28" t="str">
        <f>YEAR(Table63[[#This Row],[Order Date]])&amp;"-"&amp;TEXT(Table63[[#This Row],[Order Date]],"mm")</f>
        <v>2023-12</v>
      </c>
      <c r="O348" s="22">
        <f>IF(Table63[[#This Row],[Unit sold Filled]]=0,0,Table63[[#This Row],[Total Revenue]]/Table63[[#This Row],[Unit sold Filled]])</f>
        <v>36.24</v>
      </c>
    </row>
    <row r="349" spans="1:15" ht="15" thickBot="1" x14ac:dyDescent="0.35">
      <c r="A349" s="1" t="s">
        <v>376</v>
      </c>
      <c r="B349" s="3" t="s">
        <v>17</v>
      </c>
      <c r="C349" s="1" t="s">
        <v>12</v>
      </c>
      <c r="D349" t="s">
        <v>19</v>
      </c>
      <c r="E349" s="1" t="s">
        <v>14</v>
      </c>
      <c r="F349" s="1" t="s">
        <v>15</v>
      </c>
      <c r="G349" s="2">
        <v>45274</v>
      </c>
      <c r="H349" s="24">
        <v>368</v>
      </c>
      <c r="I349" s="23">
        <v>63.24</v>
      </c>
      <c r="J349" s="3">
        <v>111.74</v>
      </c>
      <c r="K349">
        <v>23272.32</v>
      </c>
      <c r="L349" s="22">
        <f>(Table63[[#This Row],[Unit sold Filled]]*Table63[[#This Row],[Unit Price Filled]])-(Table63[[#This Row],[Unit sold Filled]]*Table63[[#This Row],[Unit Cost]])</f>
        <v>-17848</v>
      </c>
      <c r="M349" s="27">
        <f>IF(Table63[[#This Row],[Total Revenue]]=0,0,Table63[[#This Row],[Profit]]/Table63[[#This Row],[Total Revenue]])</f>
        <v>-0.76691967109424419</v>
      </c>
      <c r="N349" s="28" t="str">
        <f>YEAR(Table63[[#This Row],[Order Date]])&amp;"-"&amp;TEXT(Table63[[#This Row],[Order Date]],"mm")</f>
        <v>2023-12</v>
      </c>
      <c r="O349" s="22">
        <f>IF(Table63[[#This Row],[Unit sold Filled]]=0,0,Table63[[#This Row],[Total Revenue]]/Table63[[#This Row],[Unit sold Filled]])</f>
        <v>63.24</v>
      </c>
    </row>
    <row r="350" spans="1:15" ht="15" thickBot="1" x14ac:dyDescent="0.35">
      <c r="A350" s="15" t="s">
        <v>377</v>
      </c>
      <c r="B350" s="17" t="s">
        <v>17</v>
      </c>
      <c r="C350" s="15" t="s">
        <v>12</v>
      </c>
      <c r="D350" t="s">
        <v>13</v>
      </c>
      <c r="E350" s="15" t="s">
        <v>14</v>
      </c>
      <c r="F350" s="15" t="s">
        <v>20</v>
      </c>
      <c r="G350" s="18">
        <v>45275</v>
      </c>
      <c r="H350" s="24">
        <v>232</v>
      </c>
      <c r="I350" s="23">
        <v>117.54</v>
      </c>
      <c r="J350" s="17">
        <v>111.69</v>
      </c>
      <c r="K350">
        <v>27269.280000000002</v>
      </c>
      <c r="L350" s="22">
        <f>(Table63[[#This Row],[Unit sold Filled]]*Table63[[#This Row],[Unit Price Filled]])-(Table63[[#This Row],[Unit sold Filled]]*Table63[[#This Row],[Unit Cost]])</f>
        <v>1357.2000000000044</v>
      </c>
      <c r="M350" s="27">
        <f>IF(Table63[[#This Row],[Total Revenue]]=0,0,Table63[[#This Row],[Profit]]/Table63[[#This Row],[Total Revenue]])</f>
        <v>4.9770290964778106E-2</v>
      </c>
      <c r="N350" s="28" t="str">
        <f>YEAR(Table63[[#This Row],[Order Date]])&amp;"-"&amp;TEXT(Table63[[#This Row],[Order Date]],"mm")</f>
        <v>2023-12</v>
      </c>
      <c r="O350" s="22">
        <f>IF(Table63[[#This Row],[Unit sold Filled]]=0,0,Table63[[#This Row],[Total Revenue]]/Table63[[#This Row],[Unit sold Filled]])</f>
        <v>117.54</v>
      </c>
    </row>
    <row r="351" spans="1:15" ht="15" thickBot="1" x14ac:dyDescent="0.35">
      <c r="A351" s="1" t="s">
        <v>378</v>
      </c>
      <c r="B351" s="3" t="s">
        <v>11</v>
      </c>
      <c r="C351" s="1" t="s">
        <v>31</v>
      </c>
      <c r="D351" t="s">
        <v>23</v>
      </c>
      <c r="E351" s="1" t="s">
        <v>24</v>
      </c>
      <c r="F351" s="1" t="s">
        <v>15</v>
      </c>
      <c r="G351" s="2">
        <v>45276</v>
      </c>
      <c r="H351" s="24">
        <v>425</v>
      </c>
      <c r="I351" s="23">
        <v>174.13</v>
      </c>
      <c r="J351" s="3">
        <v>315.27999999999997</v>
      </c>
      <c r="K351">
        <v>74005.25</v>
      </c>
      <c r="L351" s="22">
        <f>(Table63[[#This Row],[Unit sold Filled]]*Table63[[#This Row],[Unit Price Filled]])-(Table63[[#This Row],[Unit sold Filled]]*Table63[[#This Row],[Unit Cost]])</f>
        <v>-59988.75</v>
      </c>
      <c r="M351" s="27">
        <f>IF(Table63[[#This Row],[Total Revenue]]=0,0,Table63[[#This Row],[Profit]]/Table63[[#This Row],[Total Revenue]])</f>
        <v>-0.81060127490955036</v>
      </c>
      <c r="N351" s="28" t="str">
        <f>YEAR(Table63[[#This Row],[Order Date]])&amp;"-"&amp;TEXT(Table63[[#This Row],[Order Date]],"mm")</f>
        <v>2023-12</v>
      </c>
      <c r="O351" s="22">
        <f>IF(Table63[[#This Row],[Unit sold Filled]]=0,0,Table63[[#This Row],[Total Revenue]]/Table63[[#This Row],[Unit sold Filled]])</f>
        <v>174.13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7DA1-74EB-4E07-88D3-5A196123DAB4}">
  <dimension ref="A1:B5"/>
  <sheetViews>
    <sheetView workbookViewId="0">
      <selection activeCell="A5" sqref="A5"/>
    </sheetView>
  </sheetViews>
  <sheetFormatPr defaultRowHeight="14.4" x14ac:dyDescent="0.3"/>
  <cols>
    <col min="1" max="1" width="11.88671875" bestFit="1" customWidth="1"/>
    <col min="2" max="2" width="12" bestFit="1" customWidth="1"/>
  </cols>
  <sheetData>
    <row r="1" spans="1:2" x14ac:dyDescent="0.3">
      <c r="A1" t="s">
        <v>403</v>
      </c>
      <c r="B1" t="s">
        <v>404</v>
      </c>
    </row>
    <row r="2" spans="1:2" x14ac:dyDescent="0.3">
      <c r="A2" t="s">
        <v>405</v>
      </c>
      <c r="B2">
        <v>22459473.438529398</v>
      </c>
    </row>
    <row r="3" spans="1:2" x14ac:dyDescent="0.3">
      <c r="A3" t="s">
        <v>406</v>
      </c>
      <c r="B3">
        <v>5069216.1746176397</v>
      </c>
    </row>
    <row r="4" spans="1:2" x14ac:dyDescent="0.3">
      <c r="A4" t="s">
        <v>407</v>
      </c>
      <c r="B4">
        <v>249.645205882352</v>
      </c>
    </row>
    <row r="5" spans="1:2" x14ac:dyDescent="0.3">
      <c r="A5" t="s">
        <v>408</v>
      </c>
      <c r="B5">
        <v>196.12899999999999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7490-B2D4-4B40-B501-C0A3B9F8CA4E}">
  <dimension ref="A2:B8"/>
  <sheetViews>
    <sheetView showGridLines="0" workbookViewId="0">
      <selection activeCell="B2" sqref="B2"/>
    </sheetView>
  </sheetViews>
  <sheetFormatPr defaultRowHeight="14.4" x14ac:dyDescent="0.3"/>
  <cols>
    <col min="1" max="1" width="10.5546875" bestFit="1" customWidth="1"/>
    <col min="2" max="2" width="11.6640625" bestFit="1" customWidth="1"/>
  </cols>
  <sheetData>
    <row r="2" spans="1:2" x14ac:dyDescent="0.3">
      <c r="A2" s="25" t="s">
        <v>2</v>
      </c>
      <c r="B2" t="s">
        <v>409</v>
      </c>
    </row>
    <row r="3" spans="1:2" x14ac:dyDescent="0.3">
      <c r="A3" t="s">
        <v>50</v>
      </c>
      <c r="B3" s="22">
        <v>882370.11400000006</v>
      </c>
    </row>
    <row r="4" spans="1:2" x14ac:dyDescent="0.3">
      <c r="A4" t="s">
        <v>12</v>
      </c>
      <c r="B4" s="22">
        <v>623555.76</v>
      </c>
    </row>
    <row r="5" spans="1:2" x14ac:dyDescent="0.3">
      <c r="A5" t="s">
        <v>18</v>
      </c>
      <c r="B5" s="22">
        <v>1688270.2734411769</v>
      </c>
    </row>
    <row r="6" spans="1:2" x14ac:dyDescent="0.3">
      <c r="A6" t="s">
        <v>31</v>
      </c>
      <c r="B6" s="22">
        <v>999283.92705882341</v>
      </c>
    </row>
    <row r="7" spans="1:2" x14ac:dyDescent="0.3">
      <c r="A7" t="s">
        <v>26</v>
      </c>
      <c r="B7" s="22">
        <v>875736.10011764662</v>
      </c>
    </row>
    <row r="8" spans="1:2" x14ac:dyDescent="0.3">
      <c r="A8" t="s">
        <v>391</v>
      </c>
      <c r="B8" s="22">
        <v>5069216.1746176463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B34F-F9F2-4B32-883D-996177DD6731}">
  <dimension ref="A2:B7"/>
  <sheetViews>
    <sheetView showGridLines="0" workbookViewId="0">
      <selection activeCell="B3" sqref="B3"/>
    </sheetView>
  </sheetViews>
  <sheetFormatPr defaultRowHeight="14.4" x14ac:dyDescent="0.3"/>
  <cols>
    <col min="1" max="1" width="13.88671875" bestFit="1" customWidth="1"/>
    <col min="2" max="2" width="11.6640625" bestFit="1" customWidth="1"/>
  </cols>
  <sheetData>
    <row r="2" spans="1:2" x14ac:dyDescent="0.3">
      <c r="A2" s="25" t="s">
        <v>381</v>
      </c>
      <c r="B2" t="s">
        <v>409</v>
      </c>
    </row>
    <row r="3" spans="1:2" x14ac:dyDescent="0.3">
      <c r="A3" t="s">
        <v>11</v>
      </c>
      <c r="B3" s="22">
        <v>1136871.2030882356</v>
      </c>
    </row>
    <row r="4" spans="1:2" x14ac:dyDescent="0.3">
      <c r="A4" t="s">
        <v>22</v>
      </c>
      <c r="B4" s="22">
        <v>1304813.1016764701</v>
      </c>
    </row>
    <row r="5" spans="1:2" x14ac:dyDescent="0.3">
      <c r="A5" t="s">
        <v>48</v>
      </c>
      <c r="B5" s="22">
        <v>1438079.2717058826</v>
      </c>
    </row>
    <row r="6" spans="1:2" x14ac:dyDescent="0.3">
      <c r="A6" t="s">
        <v>17</v>
      </c>
      <c r="B6" s="22">
        <v>1189452.5981470596</v>
      </c>
    </row>
    <row r="7" spans="1:2" x14ac:dyDescent="0.3">
      <c r="A7" t="s">
        <v>391</v>
      </c>
      <c r="B7" s="22">
        <v>5069216.1746176481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DBC89-7A99-42FB-B6CD-05E1CBA40711}">
  <dimension ref="A1:X60"/>
  <sheetViews>
    <sheetView showGridLines="0" tabSelected="1" zoomScale="90" zoomScaleNormal="90" workbookViewId="0">
      <selection activeCell="Z17" sqref="Z17"/>
    </sheetView>
  </sheetViews>
  <sheetFormatPr defaultRowHeight="14.4" x14ac:dyDescent="0.3"/>
  <sheetData>
    <row r="1" spans="1:24" x14ac:dyDescent="0.3">
      <c r="A1" s="37"/>
      <c r="B1" s="38"/>
      <c r="C1" s="38"/>
      <c r="D1" s="38"/>
      <c r="E1" s="38"/>
      <c r="F1" s="38"/>
      <c r="G1" s="38"/>
      <c r="H1" s="38"/>
      <c r="I1" s="38"/>
      <c r="J1" s="38"/>
      <c r="K1" s="38"/>
      <c r="L1" s="38"/>
      <c r="M1" s="38"/>
      <c r="N1" s="38"/>
      <c r="O1" s="38"/>
      <c r="P1" s="38"/>
      <c r="Q1" s="38"/>
      <c r="R1" s="38"/>
      <c r="S1" s="38"/>
      <c r="T1" s="38"/>
      <c r="U1" s="38"/>
      <c r="V1" s="38"/>
      <c r="W1" s="38"/>
      <c r="X1" s="39"/>
    </row>
    <row r="2" spans="1:24" x14ac:dyDescent="0.3">
      <c r="A2" s="40"/>
      <c r="B2" s="41"/>
      <c r="C2" s="41"/>
      <c r="D2" s="41"/>
      <c r="E2" s="41"/>
      <c r="F2" s="41"/>
      <c r="G2" s="41"/>
      <c r="H2" s="41"/>
      <c r="I2" s="41"/>
      <c r="J2" s="41"/>
      <c r="K2" s="41"/>
      <c r="L2" s="41"/>
      <c r="M2" s="41"/>
      <c r="N2" s="41"/>
      <c r="O2" s="41"/>
      <c r="P2" s="41"/>
      <c r="Q2" s="41"/>
      <c r="R2" s="41"/>
      <c r="S2" s="41"/>
      <c r="T2" s="41"/>
      <c r="U2" s="41"/>
      <c r="V2" s="41"/>
      <c r="W2" s="41"/>
      <c r="X2" s="42"/>
    </row>
    <row r="3" spans="1:24" x14ac:dyDescent="0.3">
      <c r="A3" s="43"/>
      <c r="B3" s="44"/>
      <c r="C3" s="44"/>
      <c r="D3" s="44"/>
      <c r="E3" s="44"/>
      <c r="F3" s="44"/>
      <c r="G3" s="44"/>
      <c r="H3" s="44"/>
      <c r="I3" s="44"/>
      <c r="J3" s="44"/>
      <c r="K3" s="44"/>
      <c r="L3" s="44"/>
      <c r="M3" s="44"/>
      <c r="N3" s="44"/>
      <c r="O3" s="44"/>
      <c r="P3" s="44"/>
      <c r="Q3" s="44"/>
      <c r="R3" s="44"/>
      <c r="S3" s="44"/>
      <c r="T3" s="44"/>
      <c r="U3" s="44"/>
      <c r="V3" s="44"/>
      <c r="W3" s="44"/>
      <c r="X3" s="45"/>
    </row>
    <row r="4" spans="1:24" x14ac:dyDescent="0.3">
      <c r="A4" s="29"/>
      <c r="B4" s="29"/>
      <c r="C4" s="29"/>
      <c r="D4" s="29"/>
      <c r="E4" s="29"/>
      <c r="F4" s="29"/>
      <c r="G4" s="29"/>
      <c r="H4" s="29"/>
      <c r="I4" s="29"/>
      <c r="J4" s="29"/>
      <c r="K4" s="29"/>
      <c r="L4" s="29"/>
      <c r="M4" s="29"/>
      <c r="N4" s="29"/>
      <c r="O4" s="29"/>
      <c r="P4" s="29"/>
      <c r="Q4" s="29"/>
      <c r="R4" s="29"/>
      <c r="S4" s="29"/>
      <c r="T4" s="29"/>
      <c r="U4" s="29"/>
      <c r="V4" s="29"/>
      <c r="W4" s="29"/>
      <c r="X4" s="29"/>
    </row>
    <row r="5" spans="1:24" x14ac:dyDescent="0.3">
      <c r="A5" s="29"/>
      <c r="B5" s="29"/>
      <c r="C5" s="29"/>
      <c r="D5" s="29"/>
      <c r="E5" s="29"/>
      <c r="F5" s="29"/>
      <c r="G5" s="29"/>
      <c r="H5" s="29"/>
      <c r="I5" s="29"/>
      <c r="J5" s="29"/>
      <c r="K5" s="29"/>
      <c r="L5" s="29"/>
      <c r="M5" s="29"/>
      <c r="N5" s="29"/>
      <c r="O5" s="29"/>
      <c r="P5" s="29"/>
      <c r="Q5" s="29"/>
      <c r="R5" s="29"/>
      <c r="S5" s="29"/>
      <c r="T5" s="29"/>
      <c r="U5" s="29"/>
      <c r="V5" s="29"/>
      <c r="W5" s="29"/>
      <c r="X5" s="29"/>
    </row>
    <row r="6" spans="1:24" x14ac:dyDescent="0.3">
      <c r="A6" s="29"/>
      <c r="B6" s="29"/>
      <c r="C6" s="29"/>
      <c r="D6" s="29"/>
      <c r="E6" s="29"/>
      <c r="F6" s="29"/>
      <c r="G6" s="29"/>
      <c r="H6" s="29"/>
      <c r="I6" s="29"/>
      <c r="J6" s="29"/>
      <c r="K6" s="29"/>
      <c r="L6" s="29"/>
      <c r="M6" s="29"/>
      <c r="N6" s="29"/>
      <c r="O6" s="29"/>
      <c r="P6" s="29"/>
      <c r="Q6" s="29"/>
      <c r="R6" s="29"/>
      <c r="S6" s="29"/>
      <c r="T6" s="29"/>
      <c r="U6" s="29"/>
      <c r="V6" s="29"/>
      <c r="W6" s="29"/>
      <c r="X6" s="29"/>
    </row>
    <row r="7" spans="1:24" x14ac:dyDescent="0.3">
      <c r="A7" s="29"/>
      <c r="B7" s="29"/>
      <c r="C7" s="29"/>
      <c r="D7" s="29"/>
      <c r="E7" s="29"/>
      <c r="F7" s="29"/>
      <c r="G7" s="29"/>
      <c r="H7" s="29"/>
      <c r="I7" s="29"/>
      <c r="J7" s="29"/>
      <c r="K7" s="29"/>
      <c r="L7" s="29"/>
      <c r="M7" s="29"/>
      <c r="N7" s="29"/>
      <c r="O7" s="29"/>
      <c r="P7" s="29"/>
      <c r="Q7" s="29"/>
      <c r="R7" s="29"/>
      <c r="S7" s="29"/>
      <c r="T7" s="29"/>
      <c r="U7" s="29"/>
      <c r="V7" s="29"/>
      <c r="W7" s="29"/>
      <c r="X7" s="29"/>
    </row>
    <row r="8" spans="1:24" x14ac:dyDescent="0.3">
      <c r="A8" s="29"/>
      <c r="B8" s="29"/>
      <c r="C8" s="29"/>
      <c r="D8" s="29"/>
      <c r="E8" s="29"/>
      <c r="F8" s="29"/>
      <c r="G8" s="29"/>
      <c r="H8" s="29"/>
      <c r="I8" s="29"/>
      <c r="J8" s="29"/>
      <c r="K8" s="29"/>
      <c r="L8" s="29"/>
      <c r="M8" s="29"/>
      <c r="N8" s="29"/>
      <c r="O8" s="29"/>
      <c r="P8" s="29"/>
      <c r="Q8" s="29"/>
      <c r="R8" s="29"/>
      <c r="S8" s="29"/>
      <c r="T8" s="29"/>
      <c r="U8" s="29"/>
      <c r="V8" s="29"/>
      <c r="W8" s="29"/>
      <c r="X8" s="29"/>
    </row>
    <row r="9" spans="1:24" x14ac:dyDescent="0.3">
      <c r="A9" s="29"/>
      <c r="B9" s="29"/>
      <c r="C9" s="29"/>
      <c r="D9" s="29"/>
      <c r="E9" s="29"/>
      <c r="F9" s="29"/>
      <c r="G9" s="29"/>
      <c r="H9" s="29"/>
      <c r="I9" s="29"/>
      <c r="J9" s="29"/>
      <c r="K9" s="29"/>
      <c r="L9" s="29"/>
      <c r="M9" s="29"/>
      <c r="N9" s="29"/>
      <c r="O9" s="29"/>
      <c r="P9" s="29"/>
      <c r="Q9" s="29"/>
      <c r="R9" s="29"/>
      <c r="S9" s="29"/>
      <c r="T9" s="29"/>
      <c r="U9" s="29"/>
      <c r="V9" s="29"/>
      <c r="W9" s="29"/>
      <c r="X9" s="29"/>
    </row>
    <row r="10" spans="1:24" x14ac:dyDescent="0.3">
      <c r="A10" s="29"/>
      <c r="B10" s="29"/>
      <c r="C10" s="29"/>
      <c r="D10" s="29"/>
      <c r="E10" s="29"/>
      <c r="F10" s="29"/>
      <c r="G10" s="29"/>
      <c r="H10" s="29"/>
      <c r="I10" s="29"/>
      <c r="J10" s="29"/>
      <c r="K10" s="29"/>
      <c r="L10" s="29"/>
      <c r="M10" s="29"/>
      <c r="N10" s="29"/>
      <c r="O10" s="29"/>
      <c r="P10" s="29"/>
      <c r="Q10" s="29"/>
      <c r="R10" s="29"/>
      <c r="S10" s="29"/>
      <c r="T10" s="29"/>
      <c r="U10" s="29"/>
      <c r="V10" s="29"/>
      <c r="W10" s="29"/>
      <c r="X10" s="29"/>
    </row>
    <row r="11" spans="1:24"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row>
    <row r="12" spans="1:24"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row>
    <row r="13" spans="1:24"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row>
    <row r="14" spans="1:24"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row>
    <row r="15" spans="1:24"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row>
    <row r="16" spans="1:24"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row>
    <row r="17" spans="1:24"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row>
    <row r="18" spans="1:24"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row>
    <row r="19" spans="1:24" x14ac:dyDescent="0.3">
      <c r="A19" s="29"/>
      <c r="B19" s="29"/>
      <c r="C19" s="29"/>
      <c r="D19" s="29"/>
      <c r="E19" s="29"/>
      <c r="F19" s="29"/>
      <c r="G19" s="29"/>
      <c r="H19" s="29"/>
      <c r="I19" s="29"/>
      <c r="J19" s="29"/>
      <c r="K19" s="29"/>
      <c r="L19" s="29"/>
      <c r="M19" s="29"/>
      <c r="N19" s="29"/>
      <c r="O19" s="29"/>
      <c r="P19" s="29"/>
      <c r="Q19" s="29"/>
      <c r="R19" s="29"/>
      <c r="S19" s="29"/>
      <c r="T19" s="29"/>
      <c r="U19" s="29"/>
      <c r="V19" s="29"/>
      <c r="W19" s="29"/>
      <c r="X19" s="29"/>
    </row>
    <row r="20" spans="1:24" x14ac:dyDescent="0.3">
      <c r="A20" s="29"/>
      <c r="B20" s="29"/>
      <c r="C20" s="29"/>
      <c r="D20" s="29"/>
      <c r="E20" s="29"/>
      <c r="F20" s="29"/>
      <c r="G20" s="29"/>
      <c r="H20" s="29"/>
      <c r="I20" s="29"/>
      <c r="J20" s="29"/>
      <c r="K20" s="29"/>
      <c r="L20" s="29"/>
      <c r="M20" s="29"/>
      <c r="N20" s="29"/>
      <c r="O20" s="29"/>
      <c r="P20" s="29"/>
      <c r="Q20" s="29"/>
      <c r="R20" s="29"/>
      <c r="S20" s="29"/>
      <c r="T20" s="29"/>
      <c r="U20" s="29"/>
      <c r="V20" s="29"/>
      <c r="W20" s="29"/>
      <c r="X20" s="29"/>
    </row>
    <row r="21" spans="1:24"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row>
    <row r="22" spans="1:24"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row>
    <row r="23" spans="1:24"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row>
    <row r="24" spans="1:24"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row>
    <row r="25" spans="1:24"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row>
    <row r="26" spans="1:24"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row>
    <row r="27" spans="1:24"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row>
    <row r="28" spans="1:24"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row>
    <row r="29" spans="1:24"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row>
    <row r="30" spans="1:24"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row>
    <row r="31" spans="1:24"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row>
    <row r="32" spans="1:24"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row>
    <row r="33" spans="1:24"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row>
    <row r="34" spans="1:24"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row>
    <row r="35" spans="1:24"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row>
    <row r="36" spans="1:24"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row>
    <row r="37" spans="1:24" x14ac:dyDescent="0.3">
      <c r="A37" s="29"/>
      <c r="B37" s="29"/>
      <c r="C37" s="29"/>
      <c r="D37" s="29"/>
      <c r="E37" s="29"/>
      <c r="F37" s="29"/>
      <c r="G37" s="29"/>
      <c r="H37" s="29"/>
      <c r="I37" s="29"/>
      <c r="J37" s="29"/>
      <c r="K37" s="29"/>
      <c r="L37" s="29"/>
      <c r="M37" s="29"/>
      <c r="N37" s="29"/>
      <c r="O37" s="29"/>
      <c r="P37" s="29"/>
      <c r="Q37" s="29"/>
      <c r="R37" s="29"/>
      <c r="S37" s="29"/>
      <c r="T37" s="29"/>
      <c r="U37" s="29"/>
      <c r="V37" s="29"/>
      <c r="W37" s="29"/>
      <c r="X37" s="29"/>
    </row>
    <row r="38" spans="1:24"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row>
    <row r="39" spans="1:24"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row>
    <row r="40" spans="1:24"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row>
    <row r="41" spans="1:24"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row>
    <row r="42" spans="1:24"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row>
    <row r="43" spans="1:24"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row>
    <row r="44" spans="1:24"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row>
    <row r="45" spans="1:24" x14ac:dyDescent="0.3">
      <c r="A45" s="29"/>
      <c r="B45" s="29"/>
      <c r="C45" s="29"/>
      <c r="D45" s="29"/>
      <c r="E45" s="29"/>
      <c r="F45" s="29"/>
      <c r="G45" s="29"/>
      <c r="H45" s="29"/>
      <c r="I45" s="29"/>
      <c r="J45" s="29"/>
      <c r="K45" s="29"/>
      <c r="L45" s="29"/>
      <c r="M45" s="29"/>
      <c r="N45" s="29"/>
      <c r="O45" s="29"/>
      <c r="P45" s="29"/>
      <c r="Q45" s="29"/>
      <c r="R45" s="29"/>
      <c r="S45" s="29"/>
      <c r="T45" s="29"/>
      <c r="U45" s="29"/>
      <c r="V45" s="29"/>
      <c r="W45" s="29"/>
      <c r="X45" s="29"/>
    </row>
    <row r="46" spans="1:24" x14ac:dyDescent="0.3">
      <c r="A46" s="29"/>
      <c r="B46" s="29"/>
      <c r="C46" s="29"/>
      <c r="D46" s="29"/>
      <c r="E46" s="29"/>
      <c r="F46" s="29"/>
      <c r="G46" s="29"/>
      <c r="H46" s="29"/>
      <c r="I46" s="29"/>
      <c r="J46" s="29"/>
      <c r="K46" s="29"/>
      <c r="L46" s="29"/>
      <c r="M46" s="29"/>
      <c r="N46" s="29"/>
      <c r="O46" s="29"/>
      <c r="P46" s="29"/>
      <c r="Q46" s="29"/>
      <c r="R46" s="29"/>
      <c r="S46" s="29"/>
      <c r="T46" s="29"/>
      <c r="U46" s="29"/>
      <c r="V46" s="29"/>
      <c r="W46" s="29"/>
      <c r="X46" s="29"/>
    </row>
    <row r="47" spans="1:24" x14ac:dyDescent="0.3">
      <c r="A47" s="29"/>
      <c r="B47" s="29"/>
      <c r="C47" s="29"/>
      <c r="D47" s="29"/>
      <c r="E47" s="29"/>
      <c r="F47" s="29"/>
      <c r="G47" s="29"/>
      <c r="H47" s="29"/>
      <c r="I47" s="29"/>
      <c r="J47" s="29"/>
      <c r="K47" s="29"/>
      <c r="L47" s="29"/>
      <c r="M47" s="29"/>
      <c r="N47" s="29"/>
      <c r="O47" s="29"/>
      <c r="P47" s="29"/>
      <c r="Q47" s="29"/>
      <c r="R47" s="29"/>
      <c r="S47" s="29"/>
      <c r="T47" s="29"/>
      <c r="U47" s="29"/>
      <c r="V47" s="29"/>
      <c r="W47" s="29"/>
      <c r="X47" s="29"/>
    </row>
    <row r="48" spans="1:24" x14ac:dyDescent="0.3">
      <c r="A48" s="29"/>
      <c r="B48" s="29"/>
      <c r="C48" s="29"/>
      <c r="D48" s="29"/>
      <c r="E48" s="29"/>
      <c r="F48" s="29"/>
      <c r="G48" s="29"/>
      <c r="H48" s="29"/>
      <c r="I48" s="29"/>
      <c r="J48" s="29"/>
      <c r="K48" s="29"/>
      <c r="L48" s="29"/>
      <c r="M48" s="29"/>
      <c r="N48" s="29"/>
      <c r="O48" s="29"/>
      <c r="P48" s="29"/>
      <c r="Q48" s="29"/>
      <c r="R48" s="29"/>
      <c r="S48" s="29"/>
      <c r="T48" s="29"/>
      <c r="U48" s="29"/>
      <c r="V48" s="29"/>
      <c r="W48" s="29"/>
      <c r="X48" s="29"/>
    </row>
    <row r="49" spans="1:24" x14ac:dyDescent="0.3">
      <c r="A49" s="29"/>
      <c r="B49" s="29"/>
      <c r="C49" s="29"/>
      <c r="D49" s="29"/>
      <c r="E49" s="29"/>
      <c r="F49" s="29"/>
      <c r="G49" s="29"/>
      <c r="H49" s="29"/>
      <c r="I49" s="29"/>
      <c r="J49" s="29"/>
      <c r="K49" s="29"/>
      <c r="L49" s="29"/>
      <c r="M49" s="29"/>
      <c r="N49" s="29"/>
      <c r="O49" s="29"/>
      <c r="P49" s="29"/>
      <c r="Q49" s="29"/>
      <c r="R49" s="29"/>
      <c r="S49" s="29"/>
      <c r="T49" s="29"/>
      <c r="U49" s="29"/>
      <c r="V49" s="29"/>
      <c r="W49" s="29"/>
      <c r="X49" s="29"/>
    </row>
    <row r="50" spans="1:24" x14ac:dyDescent="0.3">
      <c r="A50" s="29"/>
      <c r="B50" s="29"/>
      <c r="C50" s="29"/>
      <c r="D50" s="29"/>
      <c r="E50" s="29"/>
      <c r="F50" s="29"/>
      <c r="G50" s="29"/>
      <c r="H50" s="29"/>
      <c r="I50" s="29"/>
      <c r="J50" s="29"/>
      <c r="K50" s="29"/>
      <c r="L50" s="29"/>
      <c r="M50" s="29"/>
      <c r="N50" s="29"/>
      <c r="O50" s="29"/>
      <c r="P50" s="29"/>
      <c r="Q50" s="29"/>
      <c r="R50" s="29"/>
      <c r="S50" s="29"/>
      <c r="T50" s="29"/>
      <c r="U50" s="29"/>
      <c r="V50" s="29"/>
      <c r="W50" s="29"/>
      <c r="X50" s="29"/>
    </row>
    <row r="51" spans="1:24" x14ac:dyDescent="0.3">
      <c r="A51" s="29"/>
      <c r="B51" s="29"/>
      <c r="C51" s="29"/>
      <c r="D51" s="29"/>
      <c r="E51" s="29"/>
      <c r="F51" s="29"/>
      <c r="G51" s="29"/>
      <c r="H51" s="29"/>
      <c r="I51" s="29"/>
      <c r="J51" s="29"/>
      <c r="K51" s="29"/>
      <c r="L51" s="29"/>
      <c r="M51" s="29"/>
      <c r="N51" s="29"/>
      <c r="O51" s="29"/>
      <c r="P51" s="29"/>
      <c r="Q51" s="29"/>
      <c r="R51" s="29"/>
      <c r="S51" s="29"/>
      <c r="T51" s="29"/>
      <c r="U51" s="29"/>
      <c r="V51" s="29"/>
      <c r="W51" s="29"/>
      <c r="X51" s="29"/>
    </row>
    <row r="52" spans="1:24" x14ac:dyDescent="0.3">
      <c r="A52" s="29"/>
      <c r="B52" s="29"/>
      <c r="C52" s="29"/>
      <c r="D52" s="29"/>
      <c r="E52" s="29"/>
      <c r="F52" s="29"/>
      <c r="G52" s="29"/>
      <c r="H52" s="29"/>
      <c r="I52" s="29"/>
      <c r="J52" s="29"/>
      <c r="K52" s="29"/>
      <c r="L52" s="29"/>
      <c r="M52" s="29"/>
      <c r="N52" s="29"/>
      <c r="O52" s="29"/>
      <c r="P52" s="29"/>
      <c r="Q52" s="29"/>
      <c r="R52" s="29"/>
      <c r="S52" s="29"/>
      <c r="T52" s="29"/>
      <c r="U52" s="29"/>
      <c r="V52" s="29"/>
      <c r="W52" s="29"/>
      <c r="X52" s="29"/>
    </row>
    <row r="53" spans="1:24" x14ac:dyDescent="0.3">
      <c r="A53" s="29"/>
      <c r="B53" s="29"/>
      <c r="C53" s="29"/>
      <c r="D53" s="29"/>
      <c r="E53" s="29"/>
      <c r="F53" s="29"/>
      <c r="G53" s="29"/>
      <c r="H53" s="29"/>
      <c r="I53" s="29"/>
      <c r="J53" s="29"/>
      <c r="K53" s="29"/>
      <c r="L53" s="29"/>
      <c r="M53" s="29"/>
      <c r="N53" s="29"/>
      <c r="O53" s="29"/>
      <c r="P53" s="29"/>
      <c r="Q53" s="29"/>
      <c r="R53" s="29"/>
      <c r="S53" s="29"/>
      <c r="T53" s="29"/>
      <c r="U53" s="29"/>
      <c r="V53" s="29"/>
      <c r="W53" s="29"/>
      <c r="X53" s="29"/>
    </row>
    <row r="54" spans="1:24"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row>
    <row r="55" spans="1:24" x14ac:dyDescent="0.3">
      <c r="A55" s="29"/>
      <c r="B55" s="29"/>
      <c r="C55" s="29"/>
      <c r="D55" s="29"/>
      <c r="E55" s="29"/>
      <c r="F55" s="29"/>
      <c r="G55" s="29"/>
      <c r="H55" s="29"/>
      <c r="I55" s="29"/>
      <c r="J55" s="29"/>
      <c r="K55" s="29"/>
      <c r="L55" s="29"/>
      <c r="M55" s="29"/>
      <c r="N55" s="29"/>
      <c r="O55" s="29"/>
      <c r="P55" s="29"/>
      <c r="Q55" s="29"/>
      <c r="R55" s="29"/>
      <c r="S55" s="29"/>
      <c r="T55" s="29"/>
      <c r="U55" s="29"/>
      <c r="V55" s="29"/>
      <c r="W55" s="29"/>
      <c r="X55" s="29"/>
    </row>
    <row r="56" spans="1:24" x14ac:dyDescent="0.3">
      <c r="A56" s="29"/>
      <c r="B56" s="29"/>
      <c r="C56" s="29"/>
      <c r="D56" s="29"/>
      <c r="E56" s="29"/>
      <c r="F56" s="29"/>
      <c r="G56" s="29"/>
      <c r="H56" s="29"/>
      <c r="I56" s="29"/>
      <c r="J56" s="29"/>
      <c r="K56" s="29"/>
      <c r="L56" s="29"/>
      <c r="M56" s="29"/>
      <c r="N56" s="29"/>
      <c r="O56" s="29"/>
      <c r="P56" s="29"/>
      <c r="Q56" s="29"/>
      <c r="R56" s="29"/>
      <c r="S56" s="29"/>
      <c r="T56" s="29"/>
      <c r="U56" s="29"/>
      <c r="V56" s="29"/>
      <c r="W56" s="29"/>
      <c r="X56" s="29"/>
    </row>
    <row r="57" spans="1:24" x14ac:dyDescent="0.3">
      <c r="A57" s="29"/>
      <c r="B57" s="29"/>
      <c r="C57" s="29"/>
      <c r="D57" s="29"/>
      <c r="E57" s="29"/>
      <c r="F57" s="29"/>
      <c r="G57" s="29"/>
      <c r="H57" s="29"/>
      <c r="I57" s="29"/>
      <c r="J57" s="29"/>
      <c r="K57" s="29"/>
      <c r="L57" s="29"/>
      <c r="M57" s="29"/>
      <c r="N57" s="29"/>
      <c r="O57" s="29"/>
      <c r="P57" s="29"/>
      <c r="Q57" s="29"/>
      <c r="R57" s="29"/>
      <c r="S57" s="29"/>
      <c r="T57" s="29"/>
      <c r="U57" s="29"/>
      <c r="V57" s="29"/>
      <c r="W57" s="29"/>
      <c r="X57" s="29"/>
    </row>
    <row r="58" spans="1:24" x14ac:dyDescent="0.3">
      <c r="A58" s="29"/>
      <c r="B58" s="29"/>
      <c r="C58" s="29"/>
      <c r="D58" s="29"/>
      <c r="E58" s="29"/>
      <c r="F58" s="29"/>
      <c r="G58" s="29"/>
      <c r="H58" s="29"/>
      <c r="I58" s="29"/>
      <c r="J58" s="29"/>
      <c r="K58" s="29"/>
      <c r="L58" s="29"/>
      <c r="M58" s="29"/>
      <c r="N58" s="29"/>
      <c r="O58" s="29"/>
      <c r="P58" s="29"/>
      <c r="Q58" s="29"/>
      <c r="R58" s="29"/>
      <c r="S58" s="29"/>
      <c r="T58" s="29"/>
      <c r="U58" s="29"/>
      <c r="V58" s="29"/>
      <c r="W58" s="29"/>
      <c r="X58" s="29"/>
    </row>
    <row r="59" spans="1:24" x14ac:dyDescent="0.3">
      <c r="A59" s="29"/>
      <c r="B59" s="29"/>
      <c r="C59" s="29"/>
      <c r="D59" s="29"/>
      <c r="E59" s="29"/>
      <c r="F59" s="29"/>
      <c r="G59" s="29"/>
      <c r="H59" s="29"/>
      <c r="I59" s="29"/>
      <c r="J59" s="29"/>
      <c r="K59" s="29"/>
      <c r="L59" s="29"/>
      <c r="M59" s="29"/>
      <c r="N59" s="29"/>
      <c r="O59" s="29"/>
      <c r="P59" s="29"/>
      <c r="Q59" s="29"/>
      <c r="R59" s="29"/>
      <c r="S59" s="29"/>
      <c r="T59" s="29"/>
      <c r="U59" s="29"/>
      <c r="V59" s="29"/>
      <c r="W59" s="29"/>
      <c r="X59" s="29"/>
    </row>
    <row r="60" spans="1:24" x14ac:dyDescent="0.3">
      <c r="A60" s="29"/>
      <c r="B60" s="29"/>
      <c r="C60" s="29"/>
      <c r="D60" s="29"/>
      <c r="E60" s="29"/>
      <c r="F60" s="29"/>
      <c r="G60" s="29"/>
      <c r="H60" s="29"/>
      <c r="I60" s="29"/>
      <c r="J60" s="29"/>
      <c r="K60" s="29"/>
      <c r="L60" s="29"/>
      <c r="M60" s="29"/>
      <c r="N60" s="29"/>
      <c r="O60" s="29"/>
      <c r="P60" s="29"/>
      <c r="Q60" s="29"/>
      <c r="R60" s="29"/>
      <c r="S60" s="29"/>
      <c r="T60" s="29"/>
      <c r="U60" s="29"/>
      <c r="V60" s="29"/>
      <c r="W60" s="29"/>
      <c r="X60" s="29"/>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FD70-08FF-4CD5-860F-7FF33A4FE5EE}">
  <dimension ref="A2:H18"/>
  <sheetViews>
    <sheetView workbookViewId="0">
      <selection activeCell="K10" sqref="K10"/>
    </sheetView>
  </sheetViews>
  <sheetFormatPr defaultRowHeight="14.4" x14ac:dyDescent="0.3"/>
  <sheetData>
    <row r="2" spans="1:8" x14ac:dyDescent="0.3">
      <c r="A2" s="32"/>
      <c r="B2" s="32"/>
      <c r="C2" s="32"/>
      <c r="D2" s="32"/>
      <c r="E2" s="32"/>
      <c r="F2" s="32"/>
      <c r="G2" s="32"/>
      <c r="H2" s="32"/>
    </row>
    <row r="3" spans="1:8" ht="21" x14ac:dyDescent="0.4">
      <c r="A3" s="33" t="s">
        <v>425</v>
      </c>
      <c r="B3" s="32"/>
      <c r="C3" s="32"/>
      <c r="D3" s="32"/>
      <c r="E3" s="32"/>
      <c r="F3" s="32"/>
      <c r="G3" s="32"/>
      <c r="H3" s="32"/>
    </row>
    <row r="4" spans="1:8" x14ac:dyDescent="0.3">
      <c r="A4" s="32"/>
      <c r="B4" s="32"/>
      <c r="C4" s="32"/>
      <c r="D4" s="32"/>
      <c r="E4" s="32"/>
      <c r="F4" s="32"/>
      <c r="G4" s="32"/>
      <c r="H4" s="32"/>
    </row>
    <row r="5" spans="1:8" x14ac:dyDescent="0.3">
      <c r="A5" s="32" t="s">
        <v>430</v>
      </c>
      <c r="B5" s="32"/>
      <c r="C5" s="32"/>
      <c r="D5" s="32"/>
      <c r="E5" s="32"/>
      <c r="F5" s="32"/>
      <c r="G5" s="32"/>
      <c r="H5" s="32"/>
    </row>
    <row r="6" spans="1:8" x14ac:dyDescent="0.3">
      <c r="A6" s="32" t="s">
        <v>431</v>
      </c>
      <c r="B6" s="32"/>
      <c r="C6" s="32"/>
      <c r="D6" s="32"/>
      <c r="E6" s="32"/>
      <c r="F6" s="32"/>
      <c r="G6" s="32"/>
      <c r="H6" s="32"/>
    </row>
    <row r="7" spans="1:8" x14ac:dyDescent="0.3">
      <c r="A7" s="32" t="s">
        <v>432</v>
      </c>
      <c r="B7" s="32"/>
      <c r="C7" s="32"/>
      <c r="D7" s="32"/>
      <c r="E7" s="32"/>
      <c r="F7" s="32"/>
      <c r="G7" s="32"/>
      <c r="H7" s="32"/>
    </row>
    <row r="8" spans="1:8" x14ac:dyDescent="0.3">
      <c r="A8" s="32" t="s">
        <v>433</v>
      </c>
      <c r="B8" s="32"/>
      <c r="C8" s="32"/>
      <c r="D8" s="32"/>
      <c r="E8" s="32"/>
      <c r="F8" s="32"/>
      <c r="G8" s="32"/>
      <c r="H8" s="32"/>
    </row>
    <row r="9" spans="1:8" x14ac:dyDescent="0.3">
      <c r="A9" s="32" t="s">
        <v>434</v>
      </c>
      <c r="B9" s="32"/>
      <c r="C9" s="32"/>
      <c r="D9" s="32"/>
      <c r="E9" s="32"/>
      <c r="F9" s="32"/>
      <c r="G9" s="32"/>
      <c r="H9" s="32"/>
    </row>
    <row r="10" spans="1:8" x14ac:dyDescent="0.3">
      <c r="A10" s="32" t="s">
        <v>435</v>
      </c>
      <c r="B10" s="32"/>
      <c r="C10" s="32"/>
      <c r="D10" s="32"/>
      <c r="E10" s="32"/>
      <c r="F10" s="32"/>
      <c r="G10" s="32"/>
      <c r="H10" s="32"/>
    </row>
    <row r="11" spans="1:8" x14ac:dyDescent="0.3">
      <c r="A11" s="32" t="s">
        <v>436</v>
      </c>
      <c r="B11" s="32"/>
      <c r="C11" s="32"/>
      <c r="D11" s="32"/>
      <c r="E11" s="32"/>
      <c r="F11" s="32"/>
      <c r="G11" s="32"/>
      <c r="H11" s="32"/>
    </row>
    <row r="12" spans="1:8" x14ac:dyDescent="0.3">
      <c r="A12" s="32"/>
      <c r="B12" s="32"/>
      <c r="C12" s="32"/>
      <c r="D12" s="32"/>
      <c r="E12" s="32"/>
      <c r="F12" s="32"/>
      <c r="G12" s="32"/>
      <c r="H12" s="32"/>
    </row>
    <row r="13" spans="1:8" x14ac:dyDescent="0.3">
      <c r="A13" s="34" t="s">
        <v>426</v>
      </c>
      <c r="B13" s="32"/>
      <c r="C13" s="32"/>
      <c r="D13" s="32"/>
      <c r="E13" s="32"/>
      <c r="F13" s="32"/>
      <c r="G13" s="32"/>
      <c r="H13" s="32"/>
    </row>
    <row r="14" spans="1:8" x14ac:dyDescent="0.3">
      <c r="A14" s="32" t="s">
        <v>427</v>
      </c>
      <c r="B14" s="32"/>
      <c r="C14" s="32"/>
      <c r="D14" s="32"/>
      <c r="E14" s="32"/>
      <c r="F14" s="32"/>
      <c r="G14" s="32"/>
      <c r="H14" s="32"/>
    </row>
    <row r="15" spans="1:8" x14ac:dyDescent="0.3">
      <c r="A15" s="32"/>
      <c r="B15" s="32"/>
      <c r="C15" s="32"/>
      <c r="D15" s="32"/>
      <c r="E15" s="32"/>
      <c r="F15" s="32"/>
      <c r="G15" s="32"/>
      <c r="H15" s="32"/>
    </row>
    <row r="16" spans="1:8" x14ac:dyDescent="0.3">
      <c r="A16" s="34" t="s">
        <v>428</v>
      </c>
      <c r="B16" s="32"/>
      <c r="C16" s="32"/>
      <c r="D16" s="32"/>
      <c r="E16" s="32"/>
      <c r="F16" s="32"/>
      <c r="G16" s="32"/>
      <c r="H16" s="32"/>
    </row>
    <row r="17" spans="1:8" x14ac:dyDescent="0.3">
      <c r="A17" s="32" t="s">
        <v>429</v>
      </c>
      <c r="B17" s="32"/>
      <c r="C17" s="32"/>
      <c r="D17" s="32"/>
      <c r="E17" s="32"/>
      <c r="F17" s="32"/>
      <c r="G17" s="32"/>
      <c r="H17" s="32"/>
    </row>
    <row r="18" spans="1:8" x14ac:dyDescent="0.3">
      <c r="A18" s="32"/>
      <c r="B18" s="32"/>
      <c r="C18" s="32"/>
      <c r="D18" s="32"/>
      <c r="E18" s="32"/>
      <c r="F18" s="32"/>
      <c r="G18" s="32"/>
      <c r="H18"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Source Data with Missing Values</vt:lpstr>
      <vt:lpstr>Summarizing Missing Values</vt:lpstr>
      <vt:lpstr>Question 2,3,4 and 5</vt:lpstr>
      <vt:lpstr>Most Occuring region</vt:lpstr>
      <vt:lpstr>Clean Table</vt:lpstr>
      <vt:lpstr>Question 6</vt:lpstr>
      <vt:lpstr>Question 7</vt:lpstr>
      <vt:lpstr>Sheet9</vt:lpstr>
      <vt:lpstr>Sheet8</vt:lpstr>
      <vt:lpstr>Sheet1</vt:lpstr>
      <vt:lpstr>Final Dataset for Dashboard</vt:lpstr>
      <vt:lpstr>Sheet3</vt:lpstr>
      <vt:lpstr>Sheet7</vt:lpstr>
      <vt:lpstr>Sheet6</vt:lpstr>
      <vt:lpstr>Dashboard</vt:lpstr>
      <vt:lpstr>Summary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Geetansh Goyal</dc:creator>
  <cp:keywords/>
  <dc:description/>
  <cp:lastModifiedBy>Geetansh Goyal</cp:lastModifiedBy>
  <cp:revision/>
  <dcterms:created xsi:type="dcterms:W3CDTF">2025-12-25T15:38:32Z</dcterms:created>
  <dcterms:modified xsi:type="dcterms:W3CDTF">2025-12-28T18:16:54Z</dcterms:modified>
  <cp:category/>
  <cp:contentStatus/>
</cp:coreProperties>
</file>